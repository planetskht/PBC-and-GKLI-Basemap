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PEDDAJUTUR  DISTRIBUTORY " sheetId="1" r:id="rId1"/>
    <sheet name="GOLLALAGUDUR DISTRIBUTORY" sheetId="2" r:id="rId2"/>
    <sheet name="ALAVALAPADU D" sheetId="3" r:id="rId3"/>
    <sheet name="GONDIPALLI D" sheetId="4" r:id="rId4"/>
    <sheet name="NAGUR D" sheetId="5" r:id="rId5"/>
    <sheet name="KOTHAPALLI -1 D" sheetId="6" r:id="rId6"/>
    <sheet name="KOTHAPALLI -2 D" sheetId="7" r:id="rId7"/>
    <sheet name="CHAGALERU D" sheetId="8" r:id="rId8"/>
    <sheet name="KATHALUR D" sheetId="9" r:id="rId9"/>
    <sheet name="TALLAPALLI " sheetId="10" r:id="rId10"/>
    <sheet name="KATHALUR D2" sheetId="11" r:id="rId11"/>
    <sheet name="VEMAPLLI D1" sheetId="14" r:id="rId12"/>
    <sheet name="VEMAPLLI D2" sheetId="12" r:id="rId13"/>
    <sheet name="Sheet2" sheetId="13" r:id="rId14"/>
  </sheets>
  <definedNames>
    <definedName name="_xlnm.Print_Area" localSheetId="2">'ALAVALAPADU D'!$A$1:$J$61</definedName>
    <definedName name="_xlnm.Print_Area" localSheetId="7">'CHAGALERU D'!$A$1:$M$36</definedName>
    <definedName name="_xlnm.Print_Area" localSheetId="3">'GONDIPALLI D'!$A$1:$K$32</definedName>
    <definedName name="_xlnm.Print_Area" localSheetId="8">'KATHALUR D'!$A$1:$I$26</definedName>
    <definedName name="_xlnm.Print_Area" localSheetId="5">'KOTHAPALLI -1 D'!$A$1:$K$55</definedName>
    <definedName name="_xlnm.Print_Area" localSheetId="6">'KOTHAPALLI -2 D'!$A$1:$L$21</definedName>
    <definedName name="_xlnm.Print_Area" localSheetId="4">'NAGUR D'!$A$1:$K$14</definedName>
    <definedName name="_xlnm.Print_Area" localSheetId="9">'TALLAPALLI '!$A$1:$J$26</definedName>
    <definedName name="_xlnm.Print_Area" localSheetId="11">'VEMAPLLI D1'!$A$1:$I$30</definedName>
    <definedName name="_xlnm.Print_Area" localSheetId="12">'VEMAPLLI D2'!$A$1:$I$31</definedName>
  </definedNames>
  <calcPr calcId="125725"/>
</workbook>
</file>

<file path=xl/calcChain.xml><?xml version="1.0" encoding="utf-8"?>
<calcChain xmlns="http://schemas.openxmlformats.org/spreadsheetml/2006/main">
  <c r="K32" i="3"/>
  <c r="K31"/>
  <c r="K30"/>
  <c r="K29"/>
  <c r="K28"/>
  <c r="K27"/>
</calcChain>
</file>

<file path=xl/sharedStrings.xml><?xml version="1.0" encoding="utf-8"?>
<sst xmlns="http://schemas.openxmlformats.org/spreadsheetml/2006/main" count="720" uniqueCount="318">
  <si>
    <t>PEDDAJUTUR  DISTRIBUTORY OFF TAKE AT KM 47.150 OF PBC</t>
  </si>
  <si>
    <t>R/S</t>
  </si>
  <si>
    <t>L/S</t>
  </si>
  <si>
    <t>Total Ayacut  309.20 AC</t>
  </si>
  <si>
    <t xml:space="preserve">CHINTALAJUTUR DISTRIBUTORY </t>
  </si>
  <si>
    <t>Bed level 229.329 start  233.109</t>
  </si>
  <si>
    <t>HYDRAULIC PARTICULRS</t>
  </si>
  <si>
    <t>SP</t>
  </si>
  <si>
    <t>Discharge ( R ) cum</t>
  </si>
  <si>
    <t xml:space="preserve">B class Bridge </t>
  </si>
  <si>
    <t>Discharge ( D) cum</t>
  </si>
  <si>
    <t xml:space="preserve">Bed Width </t>
  </si>
  <si>
    <t>1 L Minor  (90 Ac) L= 650 mts</t>
  </si>
  <si>
    <t xml:space="preserve">F.S.D    </t>
  </si>
  <si>
    <t>0.60 m Drop   232.389/231.789</t>
  </si>
  <si>
    <t>Surface fall</t>
  </si>
  <si>
    <t>1 IN 1500</t>
  </si>
  <si>
    <t>0.60 M Drop</t>
  </si>
  <si>
    <t>Velocity</t>
  </si>
  <si>
    <t>Side Slopes(E)</t>
  </si>
  <si>
    <t>Side Slopes(D)</t>
  </si>
  <si>
    <t>1.2:1</t>
  </si>
  <si>
    <t xml:space="preserve">0.60 M Drop cum L class bridge </t>
  </si>
  <si>
    <t xml:space="preserve">1 R minor (80 AC)  </t>
  </si>
  <si>
    <t>Km 1.075</t>
  </si>
  <si>
    <t xml:space="preserve">2L minor (7L ac ) l=450 mt </t>
  </si>
  <si>
    <t>L= 600 mts</t>
  </si>
  <si>
    <t>0.60 M Drop BL=228.428/227.828</t>
  </si>
  <si>
    <t xml:space="preserve">2 R minor (68 AC) </t>
  </si>
  <si>
    <t>Km 1.615</t>
  </si>
  <si>
    <t>L= 400 mts</t>
  </si>
  <si>
    <t>GOLLALAGUDUR DISTRIBUTORY OFF TAKEN AT KM 49.500 PBC</t>
  </si>
  <si>
    <t>PBC CANAL of take @ km 49.500 of PBC</t>
  </si>
  <si>
    <t xml:space="preserve"> Ayacut  539 AC</t>
  </si>
  <si>
    <t>336 AC</t>
  </si>
  <si>
    <t xml:space="preserve">Bed level 232.320  start  </t>
  </si>
  <si>
    <t>Bridge</t>
  </si>
  <si>
    <t>L Class Bridge</t>
  </si>
  <si>
    <t>1.00 M Drop</t>
  </si>
  <si>
    <t>1.00 M Drop 1 L Minor</t>
  </si>
  <si>
    <t>1.0 M Drop</t>
  </si>
  <si>
    <t xml:space="preserve"> </t>
  </si>
  <si>
    <t>0.60 M Drop 2 L minor L= 1.00 140 AC</t>
  </si>
  <si>
    <t>Tail End Proposed Bridge Bed Level 214.240</t>
  </si>
  <si>
    <t xml:space="preserve">HYDRAULIC PARTICULARS </t>
  </si>
  <si>
    <t>F.S.D</t>
  </si>
  <si>
    <t xml:space="preserve">Velocity </t>
  </si>
  <si>
    <t>Bed Level</t>
  </si>
  <si>
    <t>FSL</t>
  </si>
  <si>
    <t>Reach</t>
  </si>
  <si>
    <t>0.000 TO 4.320</t>
  </si>
  <si>
    <t>4.320 TO 5.640</t>
  </si>
  <si>
    <t>1 IN 3000</t>
  </si>
  <si>
    <t>ALAVALAPADU  DISTRIBUTORY OFF TAKE AT KM 50.500 OF PBC</t>
  </si>
  <si>
    <t>PBC CANAL of take @ km 50.500 OF PBC</t>
  </si>
  <si>
    <t>Bed level 232.027</t>
  </si>
  <si>
    <t>Measuring flume</t>
  </si>
  <si>
    <t>L class Bridge</t>
  </si>
  <si>
    <t>Under Funnel</t>
  </si>
  <si>
    <t>HYDRAULIC PARTICULARS</t>
  </si>
  <si>
    <t>0.000 To 7.410</t>
  </si>
  <si>
    <t>7.410 To 8.370</t>
  </si>
  <si>
    <t xml:space="preserve">FSD </t>
  </si>
  <si>
    <t>1 IN 2000</t>
  </si>
  <si>
    <t>1.2 : 1</t>
  </si>
  <si>
    <t xml:space="preserve"> 1: 1 </t>
  </si>
  <si>
    <t>1530.41 AC</t>
  </si>
  <si>
    <t>Total  2723.39 AC</t>
  </si>
  <si>
    <t>2722.39/2.411=0.770</t>
  </si>
  <si>
    <t xml:space="preserve">1R minor (1530 AC ) </t>
  </si>
  <si>
    <t>Km 2.370</t>
  </si>
  <si>
    <t>L= 1.600  Bed Level = 225.242/224.642</t>
  </si>
  <si>
    <t>8.370 TO 8.580</t>
  </si>
  <si>
    <t>8.580 TO 9.660</t>
  </si>
  <si>
    <t>Bed level  194.183</t>
  </si>
  <si>
    <t>1 minor  ( 478.88 AC ) L= 2.000 Bed Level =207.603</t>
  </si>
  <si>
    <t>0.50 M Drop</t>
  </si>
  <si>
    <t xml:space="preserve">1.0 M Drop </t>
  </si>
  <si>
    <t xml:space="preserve">L class Bridge </t>
  </si>
  <si>
    <t xml:space="preserve">0.60 M Drop </t>
  </si>
  <si>
    <t xml:space="preserve">L class  Bridge 0.60 M Drop </t>
  </si>
  <si>
    <t>0.60 M Drop  197.728/197.128</t>
  </si>
  <si>
    <t xml:space="preserve">2R Minor (449.39 AC ) </t>
  </si>
  <si>
    <t>Km 5.490</t>
  </si>
  <si>
    <t>L= 2.400 Km Bed Level= 208.083</t>
  </si>
  <si>
    <t xml:space="preserve">3R Minor (164.39 AC)  </t>
  </si>
  <si>
    <t>Km 6.450</t>
  </si>
  <si>
    <t>L= 1.500 Bed level =207.603</t>
  </si>
  <si>
    <t>4 L Minor 60 AC</t>
  </si>
  <si>
    <t>197.038/196.438</t>
  </si>
  <si>
    <t>0.60 Drop</t>
  </si>
  <si>
    <t>Km 9.180</t>
  </si>
  <si>
    <t>GONDIPALLI   DISTRIBUTORY OFF TAKE AT KM 51.460 OF PBC</t>
  </si>
  <si>
    <t>PBC CANAL of take @ km 51.460 OF PBC</t>
  </si>
  <si>
    <t>Total Ayacut  308.920 AC</t>
  </si>
  <si>
    <t>Bed Level  231.663 Start</t>
  </si>
  <si>
    <t>BED LEVEL 226.660</t>
  </si>
  <si>
    <t xml:space="preserve">3R    (38.34 AC ) </t>
  </si>
  <si>
    <t>Km 0.840</t>
  </si>
  <si>
    <t>Bed Level =231.385</t>
  </si>
  <si>
    <t>L= 300 Mts</t>
  </si>
  <si>
    <t xml:space="preserve">5R FC (31.60 AC ) </t>
  </si>
  <si>
    <t>Bed Level = 229.990/229.390</t>
  </si>
  <si>
    <t>Km 1.230</t>
  </si>
  <si>
    <t>L= 400 Mts</t>
  </si>
  <si>
    <t>7 R FC (52.46 AC)</t>
  </si>
  <si>
    <t>Km 0.180</t>
  </si>
  <si>
    <t>l=400 Mts Bed Level =228.705</t>
  </si>
  <si>
    <t>CT L Class Bridge</t>
  </si>
  <si>
    <t xml:space="preserve">S.P cum L class Bridge </t>
  </si>
  <si>
    <t xml:space="preserve">L class Brodge </t>
  </si>
  <si>
    <t xml:space="preserve">1L FC (81.02 )AC </t>
  </si>
  <si>
    <t>0.50 M Drop (43.70 AC)</t>
  </si>
  <si>
    <t>Bed Level =231.385.L= 600mts</t>
  </si>
  <si>
    <t>0.70 M Drop</t>
  </si>
  <si>
    <t>0.60 M Drop 4 L FC 15.80 AC Bed Level=229.990</t>
  </si>
  <si>
    <t>0.45 M Drop</t>
  </si>
  <si>
    <t>Tail End</t>
  </si>
  <si>
    <t>PFC  off take Bed Level =228.700 (98.46 Ac)</t>
  </si>
  <si>
    <t xml:space="preserve">0.60 M Drop 6L FC (46.00 AC) Bed Level 228.705 </t>
  </si>
  <si>
    <t>0.60 M Drop L=40 mts</t>
  </si>
  <si>
    <t>0.80 M Drop</t>
  </si>
  <si>
    <t>1.00 M Drop 1 L Minor (110 Ac )Bed Level 230.20/229.708</t>
  </si>
  <si>
    <t>0.80 Drop</t>
  </si>
  <si>
    <t xml:space="preserve">Pipe culvert </t>
  </si>
  <si>
    <t>2 L  30 AC</t>
  </si>
  <si>
    <t xml:space="preserve">8R Minor(110 AC) </t>
  </si>
  <si>
    <t>Km 0.300</t>
  </si>
  <si>
    <t>Bed Level =230.208/229.708</t>
  </si>
  <si>
    <t>L=1.00</t>
  </si>
  <si>
    <t>1 IN 1400</t>
  </si>
  <si>
    <t xml:space="preserve"> 1:1</t>
  </si>
  <si>
    <t xml:space="preserve">GONDIPALLI DISTRIBUTORY </t>
  </si>
  <si>
    <t>NAGUR  DISTRIBUTORY OFF TAKE AT KM 53.960OF PBC</t>
  </si>
  <si>
    <t>PBC CANAL of take @ km 53.960 OF PBC</t>
  </si>
  <si>
    <t>PBC CANAL of take @ km 54.700 OF PBC</t>
  </si>
  <si>
    <t xml:space="preserve">1R Minor 295.77 Ac </t>
  </si>
  <si>
    <t>Km 0.120</t>
  </si>
  <si>
    <t>Bed level =229.938 L= 1.500</t>
  </si>
  <si>
    <t>Hydralic Particulars</t>
  </si>
  <si>
    <t xml:space="preserve">0.60 M Drop  1L minor Bed level 229.939 L=0.80 (52AC) </t>
  </si>
  <si>
    <t xml:space="preserve">L class bridge </t>
  </si>
  <si>
    <t>Reach 0.000 TO 2.370 Km</t>
  </si>
  <si>
    <t>1 IN 2500</t>
  </si>
  <si>
    <t>Reach 2.370 TO 5.670</t>
  </si>
  <si>
    <t>Reach 5.670 TO 8.040</t>
  </si>
  <si>
    <t>1 IN 1000</t>
  </si>
  <si>
    <t xml:space="preserve">2 R minor   353.30 AC </t>
  </si>
  <si>
    <t>Km 2.340</t>
  </si>
  <si>
    <t xml:space="preserve">Bed Level      L=2.80 </t>
  </si>
  <si>
    <t>0.60 M Drop  2L minor  L=2.30    200 AC Bed Level 220.683/220.083</t>
  </si>
  <si>
    <t>0.60 M Drop cum L cross Bridge</t>
  </si>
  <si>
    <t>0.60 M Drop  3 L minor /208 AC  Bed Level=212.833/212.233 L=1.10</t>
  </si>
  <si>
    <t>0.60 M Drop 4L minor 44.95 AC  Bed level=203.537/202.937 l= 1.60</t>
  </si>
  <si>
    <t xml:space="preserve">Excavaation balance  up Tail End  10.100 KM </t>
  </si>
  <si>
    <t xml:space="preserve">3R minor (454.78) </t>
  </si>
  <si>
    <t>Km 5.730</t>
  </si>
  <si>
    <t xml:space="preserve">Bed Level 212.833/212.233 </t>
  </si>
  <si>
    <t>Length =1.40</t>
  </si>
  <si>
    <t>4R minor(100AC )</t>
  </si>
  <si>
    <t>Km 8.040</t>
  </si>
  <si>
    <t>Bed Level=202.082</t>
  </si>
  <si>
    <t>KOTHAPALLI DISTRIBUTORY</t>
  </si>
  <si>
    <t>KOTHAPALLI   DISTRIBUTORY NO:2</t>
  </si>
  <si>
    <t>PBC CANAL of take @ km 55.600 OF PBC</t>
  </si>
  <si>
    <t>Bed Level =230.358</t>
  </si>
  <si>
    <t xml:space="preserve">2R  PFC  68 Ac </t>
  </si>
  <si>
    <t>Bed Level =230.208</t>
  </si>
  <si>
    <t>L= 450 mts</t>
  </si>
  <si>
    <t>HYDRAULIC PARTICULARES</t>
  </si>
  <si>
    <t>0.000 To 0.300</t>
  </si>
  <si>
    <t>0.300 To 1.260</t>
  </si>
  <si>
    <t xml:space="preserve">   1:1</t>
  </si>
  <si>
    <t xml:space="preserve">B Class Bridge </t>
  </si>
  <si>
    <t>0.60 M Drop 1L PFC (89 AC)  Bed level =230.208/229.593</t>
  </si>
  <si>
    <t>0.60 M Drop 3L PFC (76 AC) L=500 mts BL=226.078/225.578</t>
  </si>
  <si>
    <t>Pipe culvert</t>
  </si>
  <si>
    <t>Tail End Bed Level =224.248 END</t>
  </si>
  <si>
    <t>KOTHAPALLI DISTRIBUTORY-2</t>
  </si>
  <si>
    <t xml:space="preserve">4 R PFC (47 AC) </t>
  </si>
  <si>
    <t>Km 1.100</t>
  </si>
  <si>
    <t>Bed Level =225.503</t>
  </si>
  <si>
    <t xml:space="preserve">L=300 mts     </t>
  </si>
  <si>
    <t xml:space="preserve">CHAGALERU   DISTRIBUTORY </t>
  </si>
  <si>
    <t>PBC CANAL of take @ km 57.080 OF PBC</t>
  </si>
  <si>
    <t>Bed level+ 229.586</t>
  </si>
  <si>
    <t>CHAGALERU DISTRIBUTORY-2</t>
  </si>
  <si>
    <t xml:space="preserve">1R minor  140 AC </t>
  </si>
  <si>
    <t>Km 0.310</t>
  </si>
  <si>
    <t>Bed Level 226.862/225.862   L=1.00 Km</t>
  </si>
  <si>
    <t xml:space="preserve">2R Minor (119 AC ) </t>
  </si>
  <si>
    <t>Km 1.750</t>
  </si>
  <si>
    <t>Bed Level=216.502  L= 1.130</t>
  </si>
  <si>
    <t>0.000 To 1.500</t>
  </si>
  <si>
    <t>1.500 To 1.300</t>
  </si>
  <si>
    <t xml:space="preserve">  1:1</t>
  </si>
  <si>
    <t xml:space="preserve">1.00 M Drop </t>
  </si>
  <si>
    <t xml:space="preserve">1.00 M Drop 1L minor 130 AC L=1.200 AC Bed Level=226.862/225.862 </t>
  </si>
  <si>
    <t xml:space="preserve">1.00 m Drop </t>
  </si>
  <si>
    <t>2 L Minor 120 AC Bed Level =216.502 L= 1.250</t>
  </si>
  <si>
    <t>Tail END   209.070 END</t>
  </si>
  <si>
    <t>KATHALUR  DISTRIBUTORY NO-1 TAKING OFF AT KM 58.300 OF PBC</t>
  </si>
  <si>
    <t>PBC CANAL of take @ km 58.300 OF PBC</t>
  </si>
  <si>
    <t>B.L Start = 228.860</t>
  </si>
  <si>
    <t>Bed Level = 228.860 Start</t>
  </si>
  <si>
    <t>Bed Level = 221.405 END</t>
  </si>
  <si>
    <t>L class Bridge  work to be done</t>
  </si>
  <si>
    <t>0.60 M Drop 1 L PFC L= 600 mts  84 AC</t>
  </si>
  <si>
    <t>0.60 M Drop 3 L PFC L= 600 mts  78 AC</t>
  </si>
  <si>
    <t xml:space="preserve">Tail End </t>
  </si>
  <si>
    <t xml:space="preserve">2R PFC (23 AC ) </t>
  </si>
  <si>
    <t>Km 1.050</t>
  </si>
  <si>
    <t>L=200 Mts  BL=225.264/264.660</t>
  </si>
  <si>
    <t xml:space="preserve">4R PFC (40AC) </t>
  </si>
  <si>
    <t>Km 1.470</t>
  </si>
  <si>
    <t>L=300 Mts    BL= 223.325/222.725</t>
  </si>
  <si>
    <t>FSD</t>
  </si>
  <si>
    <t>TALLAPALLI   DISTRIBUTORY OFF TAKE AT KM 60.920 TAKING OFF AT KM 60.920OF PBC</t>
  </si>
  <si>
    <t>PBC CANAL of take @ km 60.920 OF PBC</t>
  </si>
  <si>
    <t>Bed Level =227.238/226.238</t>
  </si>
  <si>
    <t>2R PFC  78 AC</t>
  </si>
  <si>
    <t>Km 0.240</t>
  </si>
  <si>
    <t>L=700 mts    278.51 AC</t>
  </si>
  <si>
    <t>Bed Level =227.358 Starting</t>
  </si>
  <si>
    <t>1.0 M Drop  1L PFC (84 AC ) Legth =800 mts</t>
  </si>
  <si>
    <t xml:space="preserve">1.0 M  Drop </t>
  </si>
  <si>
    <t>1.0 M Drop  3 L PFC (82 AC) Length =800 mts</t>
  </si>
  <si>
    <t xml:space="preserve">1.0 m Drop </t>
  </si>
  <si>
    <t>Tail End Dam  Bed Level 219.768 END</t>
  </si>
  <si>
    <t>BED LEVEL =224.518/223.518</t>
  </si>
  <si>
    <t xml:space="preserve">4 R PFC (46.21 AC ) </t>
  </si>
  <si>
    <t>Km 0.480</t>
  </si>
  <si>
    <t>L=300 mts</t>
  </si>
  <si>
    <t>KATHALUR  DISTRIBUTORY NO-2 TAKING OFF AT KM 63.880 OF PBC</t>
  </si>
  <si>
    <t>PBC CANAL of take @ km 63.880 OF PBC</t>
  </si>
  <si>
    <t>1R PFC (100 AC)</t>
  </si>
  <si>
    <t>L= 1.200 Bed Level =224.650/223.650</t>
  </si>
  <si>
    <t>Bed Level =225.740 Start</t>
  </si>
  <si>
    <t xml:space="preserve">2R PFC (80 AC) </t>
  </si>
  <si>
    <t>Km 1.030</t>
  </si>
  <si>
    <t>Bed Level =217.990 L=1.300</t>
  </si>
  <si>
    <t>1.00 M Drop 1L PFC (90 Ac) Bed Level =224.650/223.650 L=1.100</t>
  </si>
  <si>
    <t>B Class Bridge</t>
  </si>
  <si>
    <t>Culvert</t>
  </si>
  <si>
    <t>2L PFC (90AC) Bed level =217.220 L= 1.200 KM</t>
  </si>
  <si>
    <t>VEMAPLLI   DISTRIBUTORY NO-2 TAKING OFF AT KM 66.300 OF PBC</t>
  </si>
  <si>
    <t>PBC CANAL of take @ km 66.300 OF PBC</t>
  </si>
  <si>
    <t>KATHALUR  DISTRIBUTORY NO-2</t>
  </si>
  <si>
    <t>VEMAPLLI   DISTRIBUTORY NO-2</t>
  </si>
  <si>
    <t xml:space="preserve">Bed level =224.832 Start </t>
  </si>
  <si>
    <t>Bed Level =214.652 End</t>
  </si>
  <si>
    <t xml:space="preserve">1R minor (12.43 AC) </t>
  </si>
  <si>
    <t>Km 0.755</t>
  </si>
  <si>
    <t>L=0.350 Bed Level =224.722</t>
  </si>
  <si>
    <t>2R Minor (209.09 AC)</t>
  </si>
  <si>
    <t>Km 1.510</t>
  </si>
  <si>
    <t>L=0.30 Bed Level =224.532</t>
  </si>
  <si>
    <t xml:space="preserve">3R Minor (78.89AC ) </t>
  </si>
  <si>
    <t>Km 1.800</t>
  </si>
  <si>
    <t>L=0.500 Bed Level=224.232</t>
  </si>
  <si>
    <t>4R Minor (72.45 AC )</t>
  </si>
  <si>
    <t>Km 2.500</t>
  </si>
  <si>
    <t xml:space="preserve">5R Minor (76.03 AC ) </t>
  </si>
  <si>
    <t xml:space="preserve">Km 3.060 </t>
  </si>
  <si>
    <t>L=600 mts B.L =221.812/220.812</t>
  </si>
  <si>
    <t>l=750 mts B.L 224.032</t>
  </si>
  <si>
    <t xml:space="preserve">SP Cum L class Bridge </t>
  </si>
  <si>
    <t xml:space="preserve">Inlet </t>
  </si>
  <si>
    <t>1.00 m Drop</t>
  </si>
  <si>
    <t xml:space="preserve">REACH </t>
  </si>
  <si>
    <t>0.000 TO 1.100</t>
  </si>
  <si>
    <t>1.110 TO 2.310</t>
  </si>
  <si>
    <t>2.310 TO 2.700</t>
  </si>
  <si>
    <t>VEMAPLLI   DISTRIBUTORY NO-1 TAKING OFF AT KM 66.470 OF PBC</t>
  </si>
  <si>
    <t>PBC CANAL of take @ km 66.470 OF PBC</t>
  </si>
  <si>
    <t>Bed Level =224.802</t>
  </si>
  <si>
    <t>1L minor (318.69 AC )  Bed level 224.482 L=1.260</t>
  </si>
  <si>
    <t>U.T</t>
  </si>
  <si>
    <t xml:space="preserve">2L minor 258.37 Acres </t>
  </si>
  <si>
    <t>3 L minor (176.27 AC )Bed Level 223.152 L=1.930</t>
  </si>
  <si>
    <t>4 L minor (23.13 AC ) BL=223.503 L=1.20</t>
  </si>
  <si>
    <t>ACQUEDUCT TO BE DONE</t>
  </si>
  <si>
    <t>5L minor(57.22 AC)Bed level =222.851 L=0.600</t>
  </si>
  <si>
    <t xml:space="preserve">6 Lminor ( 61.70AC )Bed Level =0.630 </t>
  </si>
  <si>
    <t>Tail End (65.67 AC) Bed Level=222.551</t>
  </si>
  <si>
    <t>VEMAPLLI   DISTRIBUTORY NO-1</t>
  </si>
  <si>
    <t>1.080 TO 2.340</t>
  </si>
  <si>
    <t>4.020 TO 4.470</t>
  </si>
  <si>
    <t>4.470 TO 6.150</t>
  </si>
  <si>
    <t>0.000 To 1.080</t>
  </si>
  <si>
    <t>2.340 TO 4.020</t>
  </si>
  <si>
    <t xml:space="preserve"> NAGUR DISTRIBUTORY                                                                                                                                                                     </t>
  </si>
  <si>
    <t>KOTHAPALLI   DISTRIBUTORY NO:1</t>
  </si>
  <si>
    <t>legnth =1.10</t>
  </si>
  <si>
    <t>KATHALUR  DISTRIBUTORY</t>
  </si>
  <si>
    <t>TALLAPALLI   DISTRIBUTORY</t>
  </si>
  <si>
    <t>Bed Level =208.133 End</t>
  </si>
  <si>
    <t>PBC Canal of take @ Km 47.150 of PBC</t>
  </si>
  <si>
    <t>Tail End BL=222.600</t>
  </si>
  <si>
    <t>Hydraulic Particulrs</t>
  </si>
  <si>
    <t>Discharge ( r)</t>
  </si>
  <si>
    <t>Discharge (d)</t>
  </si>
  <si>
    <t>Bed width</t>
  </si>
  <si>
    <t>Value of n</t>
  </si>
  <si>
    <t>Side slopes (D)</t>
  </si>
  <si>
    <t>Discharge ( R)</t>
  </si>
  <si>
    <t>Discharge (D)</t>
  </si>
  <si>
    <t>Value of N</t>
  </si>
  <si>
    <t>Cutt off wall tail end</t>
  </si>
  <si>
    <t>Value of  N</t>
  </si>
  <si>
    <t>Side slopes  (D)</t>
  </si>
  <si>
    <t>Side slopes  (E)</t>
  </si>
  <si>
    <t>Side slopes(D)</t>
  </si>
  <si>
    <t>Length</t>
  </si>
  <si>
    <t>Side slopes(E)</t>
  </si>
  <si>
    <t>Valueof  'N'</t>
  </si>
  <si>
    <t>Bed fall</t>
  </si>
  <si>
    <t>Side slopes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</si>
</sst>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8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sz val="9"/>
      <color theme="1"/>
      <name val="Cambria"/>
      <family val="1"/>
      <scheme val="major"/>
    </font>
    <font>
      <sz val="11.5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 applyAlignme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/>
    <xf numFmtId="0" fontId="4" fillId="0" borderId="0" xfId="0" applyFont="1" applyBorder="1" applyAlignment="1">
      <alignment vertical="center"/>
    </xf>
    <xf numFmtId="0" fontId="4" fillId="0" borderId="0" xfId="0" applyFont="1" applyAlignment="1">
      <alignment horizontal="left"/>
    </xf>
    <xf numFmtId="164" fontId="4" fillId="0" borderId="0" xfId="0" applyNumberFormat="1" applyFont="1" applyFill="1" applyAlignment="1">
      <alignment horizontal="left"/>
    </xf>
    <xf numFmtId="0" fontId="4" fillId="0" borderId="0" xfId="0" applyFont="1" applyAlignment="1">
      <alignment vertical="center"/>
    </xf>
    <xf numFmtId="164" fontId="2" fillId="0" borderId="0" xfId="0" applyNumberFormat="1" applyFont="1" applyFill="1"/>
    <xf numFmtId="0" fontId="6" fillId="0" borderId="0" xfId="0" applyFont="1"/>
    <xf numFmtId="0" fontId="6" fillId="0" borderId="2" xfId="0" applyFont="1" applyBorder="1"/>
    <xf numFmtId="0" fontId="6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/>
    <xf numFmtId="164" fontId="6" fillId="0" borderId="0" xfId="0" applyNumberFormat="1" applyFont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20" fontId="6" fillId="0" borderId="0" xfId="0" applyNumberFormat="1" applyFont="1" applyAlignment="1">
      <alignment horizontal="left"/>
    </xf>
    <xf numFmtId="164" fontId="6" fillId="0" borderId="0" xfId="0" applyNumberFormat="1" applyFont="1" applyFill="1" applyAlignment="1">
      <alignment horizontal="left"/>
    </xf>
    <xf numFmtId="0" fontId="6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Fill="1"/>
    <xf numFmtId="20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/>
    <xf numFmtId="0" fontId="6" fillId="0" borderId="0" xfId="0" applyFont="1" applyFill="1" applyBorder="1" applyAlignment="1"/>
    <xf numFmtId="20" fontId="6" fillId="0" borderId="0" xfId="0" applyNumberFormat="1" applyFont="1"/>
    <xf numFmtId="164" fontId="6" fillId="0" borderId="0" xfId="0" applyNumberFormat="1" applyFont="1"/>
    <xf numFmtId="0" fontId="6" fillId="0" borderId="0" xfId="0" applyFont="1" applyBorder="1" applyAlignment="1">
      <alignment horizontal="center" vertical="center" textRotation="90" wrapText="1"/>
    </xf>
    <xf numFmtId="164" fontId="6" fillId="0" borderId="0" xfId="0" applyNumberFormat="1" applyFont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165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 vertical="center"/>
    </xf>
    <xf numFmtId="0" fontId="6" fillId="0" borderId="2" xfId="0" applyFont="1" applyBorder="1" applyAlignment="1">
      <alignment horizontal="left"/>
    </xf>
    <xf numFmtId="0" fontId="6" fillId="0" borderId="2" xfId="0" applyFont="1" applyBorder="1" applyAlignment="1">
      <alignment horizontal="center"/>
    </xf>
    <xf numFmtId="0" fontId="6" fillId="0" borderId="0" xfId="0" applyFont="1" applyAlignment="1">
      <alignment horizontal="left" wrapText="1"/>
    </xf>
    <xf numFmtId="0" fontId="7" fillId="0" borderId="0" xfId="0" applyFont="1"/>
    <xf numFmtId="0" fontId="6" fillId="0" borderId="2" xfId="0" applyFont="1" applyBorder="1" applyAlignment="1">
      <alignment vertical="center"/>
    </xf>
    <xf numFmtId="0" fontId="6" fillId="0" borderId="2" xfId="0" applyFont="1" applyBorder="1" applyAlignment="1"/>
    <xf numFmtId="0" fontId="5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 vertical="center" textRotation="90" wrapText="1"/>
    </xf>
    <xf numFmtId="0" fontId="5" fillId="0" borderId="2" xfId="0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 vertical="center" textRotation="90" wrapText="1"/>
    </xf>
    <xf numFmtId="164" fontId="6" fillId="0" borderId="2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textRotation="90" wrapText="1"/>
    </xf>
    <xf numFmtId="0" fontId="5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311304</xdr:colOff>
      <xdr:row>3</xdr:row>
      <xdr:rowOff>78988</xdr:rowOff>
    </xdr:from>
    <xdr:to>
      <xdr:col>3</xdr:col>
      <xdr:colOff>320598</xdr:colOff>
      <xdr:row>7</xdr:row>
      <xdr:rowOff>83635</xdr:rowOff>
    </xdr:to>
    <xdr:cxnSp macro="">
      <xdr:nvCxnSpPr>
        <xdr:cNvPr id="2" name="Straight Arrow Connector 1"/>
        <xdr:cNvCxnSpPr/>
      </xdr:nvCxnSpPr>
      <xdr:spPr>
        <a:xfrm>
          <a:off x="3108402" y="859573"/>
          <a:ext cx="9294" cy="766647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3</xdr:row>
      <xdr:rowOff>76200</xdr:rowOff>
    </xdr:from>
    <xdr:to>
      <xdr:col>3</xdr:col>
      <xdr:colOff>326571</xdr:colOff>
      <xdr:row>9</xdr:row>
      <xdr:rowOff>130628</xdr:rowOff>
    </xdr:to>
    <xdr:cxnSp macro="">
      <xdr:nvCxnSpPr>
        <xdr:cNvPr id="2" name="Straight Arrow Connector 1"/>
        <xdr:cNvCxnSpPr/>
      </xdr:nvCxnSpPr>
      <xdr:spPr>
        <a:xfrm>
          <a:off x="3086100" y="647700"/>
          <a:ext cx="21771" cy="1170214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250371</xdr:colOff>
      <xdr:row>3</xdr:row>
      <xdr:rowOff>174172</xdr:rowOff>
    </xdr:from>
    <xdr:to>
      <xdr:col>3</xdr:col>
      <xdr:colOff>277586</xdr:colOff>
      <xdr:row>18</xdr:row>
      <xdr:rowOff>157843</xdr:rowOff>
    </xdr:to>
    <xdr:cxnSp macro="">
      <xdr:nvCxnSpPr>
        <xdr:cNvPr id="2" name="Straight Arrow Connector 1"/>
        <xdr:cNvCxnSpPr/>
      </xdr:nvCxnSpPr>
      <xdr:spPr>
        <a:xfrm>
          <a:off x="2509157" y="767443"/>
          <a:ext cx="27215" cy="3020786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315312</xdr:colOff>
      <xdr:row>3</xdr:row>
      <xdr:rowOff>183931</xdr:rowOff>
    </xdr:from>
    <xdr:to>
      <xdr:col>3</xdr:col>
      <xdr:colOff>321880</xdr:colOff>
      <xdr:row>9</xdr:row>
      <xdr:rowOff>118242</xdr:rowOff>
    </xdr:to>
    <xdr:cxnSp macro="">
      <xdr:nvCxnSpPr>
        <xdr:cNvPr id="2" name="Straight Arrow Connector 1"/>
        <xdr:cNvCxnSpPr/>
      </xdr:nvCxnSpPr>
      <xdr:spPr>
        <a:xfrm flipH="1">
          <a:off x="2148053" y="939362"/>
          <a:ext cx="6568" cy="1044466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315685</xdr:colOff>
      <xdr:row>3</xdr:row>
      <xdr:rowOff>65315</xdr:rowOff>
    </xdr:from>
    <xdr:to>
      <xdr:col>3</xdr:col>
      <xdr:colOff>315687</xdr:colOff>
      <xdr:row>4</xdr:row>
      <xdr:rowOff>190500</xdr:rowOff>
    </xdr:to>
    <xdr:cxnSp macro="">
      <xdr:nvCxnSpPr>
        <xdr:cNvPr id="2" name="Straight Arrow Connector 1"/>
        <xdr:cNvCxnSpPr/>
      </xdr:nvCxnSpPr>
      <xdr:spPr>
        <a:xfrm flipH="1">
          <a:off x="2231571" y="669472"/>
          <a:ext cx="2" cy="326571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272143</xdr:colOff>
      <xdr:row>10</xdr:row>
      <xdr:rowOff>152400</xdr:rowOff>
    </xdr:from>
    <xdr:to>
      <xdr:col>3</xdr:col>
      <xdr:colOff>293914</xdr:colOff>
      <xdr:row>22</xdr:row>
      <xdr:rowOff>97972</xdr:rowOff>
    </xdr:to>
    <xdr:cxnSp macro="">
      <xdr:nvCxnSpPr>
        <xdr:cNvPr id="2" name="Straight Arrow Connector 1"/>
        <xdr:cNvCxnSpPr/>
      </xdr:nvCxnSpPr>
      <xdr:spPr>
        <a:xfrm>
          <a:off x="2100943" y="2079171"/>
          <a:ext cx="21771" cy="2231572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307398</xdr:colOff>
      <xdr:row>3</xdr:row>
      <xdr:rowOff>77932</xdr:rowOff>
    </xdr:from>
    <xdr:to>
      <xdr:col>3</xdr:col>
      <xdr:colOff>316057</xdr:colOff>
      <xdr:row>6</xdr:row>
      <xdr:rowOff>82262</xdr:rowOff>
    </xdr:to>
    <xdr:cxnSp macro="">
      <xdr:nvCxnSpPr>
        <xdr:cNvPr id="2" name="Straight Arrow Connector 1"/>
        <xdr:cNvCxnSpPr/>
      </xdr:nvCxnSpPr>
      <xdr:spPr>
        <a:xfrm>
          <a:off x="3078307" y="666750"/>
          <a:ext cx="8659" cy="57583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B050"/>
  </sheetPr>
  <dimension ref="A1:I25"/>
  <sheetViews>
    <sheetView tabSelected="1" view="pageBreakPreview" zoomScaleNormal="100" zoomScaleSheetLayoutView="100" workbookViewId="0">
      <selection activeCell="P32" sqref="P32"/>
    </sheetView>
  </sheetViews>
  <sheetFormatPr defaultRowHeight="15.75"/>
  <cols>
    <col min="1" max="1" width="20.140625" style="11" customWidth="1"/>
    <col min="2" max="2" width="12.7109375" style="11" customWidth="1"/>
    <col min="3" max="3" width="10" style="11" customWidth="1"/>
    <col min="4" max="256" width="9.140625" style="11"/>
    <col min="257" max="257" width="20.140625" style="11" customWidth="1"/>
    <col min="258" max="258" width="12.7109375" style="11" customWidth="1"/>
    <col min="259" max="512" width="9.140625" style="11"/>
    <col min="513" max="513" width="20.140625" style="11" customWidth="1"/>
    <col min="514" max="514" width="12.7109375" style="11" customWidth="1"/>
    <col min="515" max="768" width="9.140625" style="11"/>
    <col min="769" max="769" width="20.140625" style="11" customWidth="1"/>
    <col min="770" max="770" width="12.7109375" style="11" customWidth="1"/>
    <col min="771" max="1024" width="9.140625" style="11"/>
    <col min="1025" max="1025" width="20.140625" style="11" customWidth="1"/>
    <col min="1026" max="1026" width="12.7109375" style="11" customWidth="1"/>
    <col min="1027" max="1280" width="9.140625" style="11"/>
    <col min="1281" max="1281" width="20.140625" style="11" customWidth="1"/>
    <col min="1282" max="1282" width="12.7109375" style="11" customWidth="1"/>
    <col min="1283" max="1536" width="9.140625" style="11"/>
    <col min="1537" max="1537" width="20.140625" style="11" customWidth="1"/>
    <col min="1538" max="1538" width="12.7109375" style="11" customWidth="1"/>
    <col min="1539" max="1792" width="9.140625" style="11"/>
    <col min="1793" max="1793" width="20.140625" style="11" customWidth="1"/>
    <col min="1794" max="1794" width="12.7109375" style="11" customWidth="1"/>
    <col min="1795" max="2048" width="9.140625" style="11"/>
    <col min="2049" max="2049" width="20.140625" style="11" customWidth="1"/>
    <col min="2050" max="2050" width="12.7109375" style="11" customWidth="1"/>
    <col min="2051" max="2304" width="9.140625" style="11"/>
    <col min="2305" max="2305" width="20.140625" style="11" customWidth="1"/>
    <col min="2306" max="2306" width="12.7109375" style="11" customWidth="1"/>
    <col min="2307" max="2560" width="9.140625" style="11"/>
    <col min="2561" max="2561" width="20.140625" style="11" customWidth="1"/>
    <col min="2562" max="2562" width="12.7109375" style="11" customWidth="1"/>
    <col min="2563" max="2816" width="9.140625" style="11"/>
    <col min="2817" max="2817" width="20.140625" style="11" customWidth="1"/>
    <col min="2818" max="2818" width="12.7109375" style="11" customWidth="1"/>
    <col min="2819" max="3072" width="9.140625" style="11"/>
    <col min="3073" max="3073" width="20.140625" style="11" customWidth="1"/>
    <col min="3074" max="3074" width="12.7109375" style="11" customWidth="1"/>
    <col min="3075" max="3328" width="9.140625" style="11"/>
    <col min="3329" max="3329" width="20.140625" style="11" customWidth="1"/>
    <col min="3330" max="3330" width="12.7109375" style="11" customWidth="1"/>
    <col min="3331" max="3584" width="9.140625" style="11"/>
    <col min="3585" max="3585" width="20.140625" style="11" customWidth="1"/>
    <col min="3586" max="3586" width="12.7109375" style="11" customWidth="1"/>
    <col min="3587" max="3840" width="9.140625" style="11"/>
    <col min="3841" max="3841" width="20.140625" style="11" customWidth="1"/>
    <col min="3842" max="3842" width="12.7109375" style="11" customWidth="1"/>
    <col min="3843" max="4096" width="9.140625" style="11"/>
    <col min="4097" max="4097" width="20.140625" style="11" customWidth="1"/>
    <col min="4098" max="4098" width="12.7109375" style="11" customWidth="1"/>
    <col min="4099" max="4352" width="9.140625" style="11"/>
    <col min="4353" max="4353" width="20.140625" style="11" customWidth="1"/>
    <col min="4354" max="4354" width="12.7109375" style="11" customWidth="1"/>
    <col min="4355" max="4608" width="9.140625" style="11"/>
    <col min="4609" max="4609" width="20.140625" style="11" customWidth="1"/>
    <col min="4610" max="4610" width="12.7109375" style="11" customWidth="1"/>
    <col min="4611" max="4864" width="9.140625" style="11"/>
    <col min="4865" max="4865" width="20.140625" style="11" customWidth="1"/>
    <col min="4866" max="4866" width="12.7109375" style="11" customWidth="1"/>
    <col min="4867" max="5120" width="9.140625" style="11"/>
    <col min="5121" max="5121" width="20.140625" style="11" customWidth="1"/>
    <col min="5122" max="5122" width="12.7109375" style="11" customWidth="1"/>
    <col min="5123" max="5376" width="9.140625" style="11"/>
    <col min="5377" max="5377" width="20.140625" style="11" customWidth="1"/>
    <col min="5378" max="5378" width="12.7109375" style="11" customWidth="1"/>
    <col min="5379" max="5632" width="9.140625" style="11"/>
    <col min="5633" max="5633" width="20.140625" style="11" customWidth="1"/>
    <col min="5634" max="5634" width="12.7109375" style="11" customWidth="1"/>
    <col min="5635" max="5888" width="9.140625" style="11"/>
    <col min="5889" max="5889" width="20.140625" style="11" customWidth="1"/>
    <col min="5890" max="5890" width="12.7109375" style="11" customWidth="1"/>
    <col min="5891" max="6144" width="9.140625" style="11"/>
    <col min="6145" max="6145" width="20.140625" style="11" customWidth="1"/>
    <col min="6146" max="6146" width="12.7109375" style="11" customWidth="1"/>
    <col min="6147" max="6400" width="9.140625" style="11"/>
    <col min="6401" max="6401" width="20.140625" style="11" customWidth="1"/>
    <col min="6402" max="6402" width="12.7109375" style="11" customWidth="1"/>
    <col min="6403" max="6656" width="9.140625" style="11"/>
    <col min="6657" max="6657" width="20.140625" style="11" customWidth="1"/>
    <col min="6658" max="6658" width="12.7109375" style="11" customWidth="1"/>
    <col min="6659" max="6912" width="9.140625" style="11"/>
    <col min="6913" max="6913" width="20.140625" style="11" customWidth="1"/>
    <col min="6914" max="6914" width="12.7109375" style="11" customWidth="1"/>
    <col min="6915" max="7168" width="9.140625" style="11"/>
    <col min="7169" max="7169" width="20.140625" style="11" customWidth="1"/>
    <col min="7170" max="7170" width="12.7109375" style="11" customWidth="1"/>
    <col min="7171" max="7424" width="9.140625" style="11"/>
    <col min="7425" max="7425" width="20.140625" style="11" customWidth="1"/>
    <col min="7426" max="7426" width="12.7109375" style="11" customWidth="1"/>
    <col min="7427" max="7680" width="9.140625" style="11"/>
    <col min="7681" max="7681" width="20.140625" style="11" customWidth="1"/>
    <col min="7682" max="7682" width="12.7109375" style="11" customWidth="1"/>
    <col min="7683" max="7936" width="9.140625" style="11"/>
    <col min="7937" max="7937" width="20.140625" style="11" customWidth="1"/>
    <col min="7938" max="7938" width="12.7109375" style="11" customWidth="1"/>
    <col min="7939" max="8192" width="9.140625" style="11"/>
    <col min="8193" max="8193" width="20.140625" style="11" customWidth="1"/>
    <col min="8194" max="8194" width="12.7109375" style="11" customWidth="1"/>
    <col min="8195" max="8448" width="9.140625" style="11"/>
    <col min="8449" max="8449" width="20.140625" style="11" customWidth="1"/>
    <col min="8450" max="8450" width="12.7109375" style="11" customWidth="1"/>
    <col min="8451" max="8704" width="9.140625" style="11"/>
    <col min="8705" max="8705" width="20.140625" style="11" customWidth="1"/>
    <col min="8706" max="8706" width="12.7109375" style="11" customWidth="1"/>
    <col min="8707" max="8960" width="9.140625" style="11"/>
    <col min="8961" max="8961" width="20.140625" style="11" customWidth="1"/>
    <col min="8962" max="8962" width="12.7109375" style="11" customWidth="1"/>
    <col min="8963" max="9216" width="9.140625" style="11"/>
    <col min="9217" max="9217" width="20.140625" style="11" customWidth="1"/>
    <col min="9218" max="9218" width="12.7109375" style="11" customWidth="1"/>
    <col min="9219" max="9472" width="9.140625" style="11"/>
    <col min="9473" max="9473" width="20.140625" style="11" customWidth="1"/>
    <col min="9474" max="9474" width="12.7109375" style="11" customWidth="1"/>
    <col min="9475" max="9728" width="9.140625" style="11"/>
    <col min="9729" max="9729" width="20.140625" style="11" customWidth="1"/>
    <col min="9730" max="9730" width="12.7109375" style="11" customWidth="1"/>
    <col min="9731" max="9984" width="9.140625" style="11"/>
    <col min="9985" max="9985" width="20.140625" style="11" customWidth="1"/>
    <col min="9986" max="9986" width="12.7109375" style="11" customWidth="1"/>
    <col min="9987" max="10240" width="9.140625" style="11"/>
    <col min="10241" max="10241" width="20.140625" style="11" customWidth="1"/>
    <col min="10242" max="10242" width="12.7109375" style="11" customWidth="1"/>
    <col min="10243" max="10496" width="9.140625" style="11"/>
    <col min="10497" max="10497" width="20.140625" style="11" customWidth="1"/>
    <col min="10498" max="10498" width="12.7109375" style="11" customWidth="1"/>
    <col min="10499" max="10752" width="9.140625" style="11"/>
    <col min="10753" max="10753" width="20.140625" style="11" customWidth="1"/>
    <col min="10754" max="10754" width="12.7109375" style="11" customWidth="1"/>
    <col min="10755" max="11008" width="9.140625" style="11"/>
    <col min="11009" max="11009" width="20.140625" style="11" customWidth="1"/>
    <col min="11010" max="11010" width="12.7109375" style="11" customWidth="1"/>
    <col min="11011" max="11264" width="9.140625" style="11"/>
    <col min="11265" max="11265" width="20.140625" style="11" customWidth="1"/>
    <col min="11266" max="11266" width="12.7109375" style="11" customWidth="1"/>
    <col min="11267" max="11520" width="9.140625" style="11"/>
    <col min="11521" max="11521" width="20.140625" style="11" customWidth="1"/>
    <col min="11522" max="11522" width="12.7109375" style="11" customWidth="1"/>
    <col min="11523" max="11776" width="9.140625" style="11"/>
    <col min="11777" max="11777" width="20.140625" style="11" customWidth="1"/>
    <col min="11778" max="11778" width="12.7109375" style="11" customWidth="1"/>
    <col min="11779" max="12032" width="9.140625" style="11"/>
    <col min="12033" max="12033" width="20.140625" style="11" customWidth="1"/>
    <col min="12034" max="12034" width="12.7109375" style="11" customWidth="1"/>
    <col min="12035" max="12288" width="9.140625" style="11"/>
    <col min="12289" max="12289" width="20.140625" style="11" customWidth="1"/>
    <col min="12290" max="12290" width="12.7109375" style="11" customWidth="1"/>
    <col min="12291" max="12544" width="9.140625" style="11"/>
    <col min="12545" max="12545" width="20.140625" style="11" customWidth="1"/>
    <col min="12546" max="12546" width="12.7109375" style="11" customWidth="1"/>
    <col min="12547" max="12800" width="9.140625" style="11"/>
    <col min="12801" max="12801" width="20.140625" style="11" customWidth="1"/>
    <col min="12802" max="12802" width="12.7109375" style="11" customWidth="1"/>
    <col min="12803" max="13056" width="9.140625" style="11"/>
    <col min="13057" max="13057" width="20.140625" style="11" customWidth="1"/>
    <col min="13058" max="13058" width="12.7109375" style="11" customWidth="1"/>
    <col min="13059" max="13312" width="9.140625" style="11"/>
    <col min="13313" max="13313" width="20.140625" style="11" customWidth="1"/>
    <col min="13314" max="13314" width="12.7109375" style="11" customWidth="1"/>
    <col min="13315" max="13568" width="9.140625" style="11"/>
    <col min="13569" max="13569" width="20.140625" style="11" customWidth="1"/>
    <col min="13570" max="13570" width="12.7109375" style="11" customWidth="1"/>
    <col min="13571" max="13824" width="9.140625" style="11"/>
    <col min="13825" max="13825" width="20.140625" style="11" customWidth="1"/>
    <col min="13826" max="13826" width="12.7109375" style="11" customWidth="1"/>
    <col min="13827" max="14080" width="9.140625" style="11"/>
    <col min="14081" max="14081" width="20.140625" style="11" customWidth="1"/>
    <col min="14082" max="14082" width="12.7109375" style="11" customWidth="1"/>
    <col min="14083" max="14336" width="9.140625" style="11"/>
    <col min="14337" max="14337" width="20.140625" style="11" customWidth="1"/>
    <col min="14338" max="14338" width="12.7109375" style="11" customWidth="1"/>
    <col min="14339" max="14592" width="9.140625" style="11"/>
    <col min="14593" max="14593" width="20.140625" style="11" customWidth="1"/>
    <col min="14594" max="14594" width="12.7109375" style="11" customWidth="1"/>
    <col min="14595" max="14848" width="9.140625" style="11"/>
    <col min="14849" max="14849" width="20.140625" style="11" customWidth="1"/>
    <col min="14850" max="14850" width="12.7109375" style="11" customWidth="1"/>
    <col min="14851" max="15104" width="9.140625" style="11"/>
    <col min="15105" max="15105" width="20.140625" style="11" customWidth="1"/>
    <col min="15106" max="15106" width="12.7109375" style="11" customWidth="1"/>
    <col min="15107" max="15360" width="9.140625" style="11"/>
    <col min="15361" max="15361" width="20.140625" style="11" customWidth="1"/>
    <col min="15362" max="15362" width="12.7109375" style="11" customWidth="1"/>
    <col min="15363" max="15616" width="9.140625" style="11"/>
    <col min="15617" max="15617" width="20.140625" style="11" customWidth="1"/>
    <col min="15618" max="15618" width="12.7109375" style="11" customWidth="1"/>
    <col min="15619" max="15872" width="9.140625" style="11"/>
    <col min="15873" max="15873" width="20.140625" style="11" customWidth="1"/>
    <col min="15874" max="15874" width="12.7109375" style="11" customWidth="1"/>
    <col min="15875" max="16128" width="9.140625" style="11"/>
    <col min="16129" max="16129" width="20.140625" style="11" customWidth="1"/>
    <col min="16130" max="16130" width="12.7109375" style="11" customWidth="1"/>
    <col min="16131" max="16384" width="9.140625" style="11"/>
  </cols>
  <sheetData>
    <row r="1" spans="1:9">
      <c r="A1" s="50" t="s">
        <v>0</v>
      </c>
      <c r="B1" s="50"/>
      <c r="C1" s="50"/>
      <c r="D1" s="50"/>
      <c r="E1" s="50"/>
      <c r="F1" s="50"/>
      <c r="G1" s="50"/>
      <c r="H1" s="50"/>
      <c r="I1" s="50"/>
    </row>
    <row r="2" spans="1:9">
      <c r="A2" s="51" t="s">
        <v>1</v>
      </c>
      <c r="B2" s="51"/>
      <c r="C2" s="51"/>
      <c r="D2" s="12"/>
      <c r="E2" s="52" t="s">
        <v>2</v>
      </c>
      <c r="F2" s="52"/>
      <c r="G2" s="52"/>
      <c r="H2" s="52"/>
      <c r="I2" s="52"/>
    </row>
    <row r="3" spans="1:9">
      <c r="A3" s="51" t="s">
        <v>297</v>
      </c>
      <c r="B3" s="51"/>
      <c r="C3" s="51"/>
      <c r="D3" s="51"/>
      <c r="E3" s="51"/>
      <c r="F3" s="51"/>
      <c r="G3" s="51"/>
      <c r="H3" s="51"/>
      <c r="I3" s="51"/>
    </row>
    <row r="4" spans="1:9" ht="15" customHeight="1">
      <c r="A4" s="13" t="s">
        <v>3</v>
      </c>
      <c r="B4" s="13"/>
      <c r="C4" s="14"/>
      <c r="D4" s="53" t="s">
        <v>4</v>
      </c>
      <c r="E4" s="15" t="s">
        <v>5</v>
      </c>
      <c r="F4" s="13"/>
      <c r="G4" s="14"/>
      <c r="H4" s="14"/>
    </row>
    <row r="5" spans="1:9">
      <c r="A5" s="16" t="s">
        <v>299</v>
      </c>
      <c r="C5" s="17"/>
      <c r="D5" s="53"/>
      <c r="E5" s="13">
        <v>9.4E-2</v>
      </c>
      <c r="F5" s="15" t="s">
        <v>7</v>
      </c>
    </row>
    <row r="6" spans="1:9">
      <c r="A6" s="15" t="s">
        <v>8</v>
      </c>
      <c r="B6" s="15">
        <v>0.127</v>
      </c>
      <c r="D6" s="53"/>
      <c r="E6" s="18">
        <v>0.28000000000000003</v>
      </c>
      <c r="F6" s="15" t="s">
        <v>9</v>
      </c>
    </row>
    <row r="7" spans="1:9">
      <c r="A7" s="15" t="s">
        <v>10</v>
      </c>
      <c r="B7" s="15">
        <v>0.27760000000000001</v>
      </c>
      <c r="D7" s="53"/>
      <c r="E7" s="15">
        <v>0.94</v>
      </c>
      <c r="F7" s="15" t="s">
        <v>7</v>
      </c>
    </row>
    <row r="8" spans="1:9">
      <c r="A8" s="15" t="s">
        <v>11</v>
      </c>
      <c r="B8" s="19">
        <v>1</v>
      </c>
      <c r="D8" s="53"/>
      <c r="E8" s="18">
        <v>1.075</v>
      </c>
      <c r="F8" s="15" t="s">
        <v>12</v>
      </c>
    </row>
    <row r="9" spans="1:9">
      <c r="A9" s="15" t="s">
        <v>13</v>
      </c>
      <c r="B9" s="20">
        <v>0.5</v>
      </c>
      <c r="D9" s="53"/>
      <c r="E9" s="18">
        <v>1.08</v>
      </c>
      <c r="F9" s="15" t="s">
        <v>14</v>
      </c>
    </row>
    <row r="10" spans="1:9">
      <c r="A10" s="15" t="s">
        <v>15</v>
      </c>
      <c r="B10" s="15" t="s">
        <v>16</v>
      </c>
      <c r="D10" s="53"/>
      <c r="E10" s="18">
        <v>1.1399999999999999</v>
      </c>
      <c r="F10" s="15" t="s">
        <v>17</v>
      </c>
    </row>
    <row r="11" spans="1:9">
      <c r="A11" s="15" t="s">
        <v>18</v>
      </c>
      <c r="B11" s="20">
        <v>0.4929</v>
      </c>
      <c r="D11" s="53"/>
      <c r="E11" s="18">
        <v>1.2</v>
      </c>
      <c r="F11" s="15" t="s">
        <v>17</v>
      </c>
    </row>
    <row r="12" spans="1:9">
      <c r="A12" s="15" t="s">
        <v>19</v>
      </c>
      <c r="B12" s="21">
        <v>4.2361111111111106E-2</v>
      </c>
      <c r="D12" s="53"/>
      <c r="E12" s="18">
        <v>1.3</v>
      </c>
      <c r="F12" s="15" t="s">
        <v>17</v>
      </c>
    </row>
    <row r="13" spans="1:9">
      <c r="A13" s="15" t="s">
        <v>20</v>
      </c>
      <c r="B13" s="15" t="s">
        <v>21</v>
      </c>
      <c r="D13" s="53"/>
      <c r="E13" s="18">
        <v>1.3839999999999999</v>
      </c>
      <c r="F13" s="15" t="s">
        <v>22</v>
      </c>
    </row>
    <row r="14" spans="1:9">
      <c r="A14" s="15"/>
      <c r="B14" s="15"/>
      <c r="D14" s="53"/>
      <c r="E14" s="22">
        <v>1.48</v>
      </c>
      <c r="F14" s="15" t="s">
        <v>17</v>
      </c>
    </row>
    <row r="15" spans="1:9">
      <c r="A15" s="15" t="s">
        <v>23</v>
      </c>
      <c r="B15" s="15"/>
      <c r="C15" s="11" t="s">
        <v>24</v>
      </c>
      <c r="D15" s="53"/>
      <c r="E15" s="22">
        <v>1.615</v>
      </c>
      <c r="F15" s="15" t="s">
        <v>25</v>
      </c>
    </row>
    <row r="16" spans="1:9">
      <c r="A16" s="15" t="s">
        <v>26</v>
      </c>
      <c r="B16" s="15"/>
      <c r="D16" s="53"/>
      <c r="E16" s="22">
        <v>1.62</v>
      </c>
      <c r="F16" s="15" t="s">
        <v>27</v>
      </c>
    </row>
    <row r="17" spans="1:8">
      <c r="A17" s="15"/>
      <c r="B17" s="15"/>
      <c r="D17" s="53"/>
      <c r="E17" s="22">
        <v>1.7</v>
      </c>
      <c r="F17" s="15" t="s">
        <v>17</v>
      </c>
    </row>
    <row r="18" spans="1:8">
      <c r="A18" s="15" t="s">
        <v>28</v>
      </c>
      <c r="B18" s="18"/>
      <c r="C18" s="11" t="s">
        <v>29</v>
      </c>
      <c r="D18" s="53"/>
      <c r="E18" s="22">
        <v>1.8</v>
      </c>
      <c r="F18" s="15" t="s">
        <v>17</v>
      </c>
    </row>
    <row r="19" spans="1:8">
      <c r="A19" s="15" t="s">
        <v>30</v>
      </c>
      <c r="B19" s="15"/>
      <c r="D19" s="53"/>
      <c r="E19" s="22">
        <v>1.86</v>
      </c>
      <c r="F19" s="15" t="s">
        <v>17</v>
      </c>
    </row>
    <row r="20" spans="1:8">
      <c r="A20" s="15"/>
      <c r="B20" s="15"/>
      <c r="D20" s="53"/>
      <c r="E20" s="22">
        <v>1.92</v>
      </c>
      <c r="F20" s="15" t="s">
        <v>17</v>
      </c>
    </row>
    <row r="21" spans="1:8">
      <c r="A21" s="15"/>
      <c r="B21" s="15"/>
      <c r="D21" s="53"/>
      <c r="E21" s="22">
        <v>1.98</v>
      </c>
      <c r="F21" s="15" t="s">
        <v>17</v>
      </c>
      <c r="G21" s="17"/>
      <c r="H21" s="17"/>
    </row>
    <row r="22" spans="1:8">
      <c r="A22" s="15"/>
      <c r="B22" s="15"/>
      <c r="D22" s="53"/>
      <c r="E22" s="22">
        <v>2.06</v>
      </c>
      <c r="F22" s="15" t="s">
        <v>17</v>
      </c>
    </row>
    <row r="23" spans="1:8">
      <c r="A23" s="15"/>
      <c r="B23" s="15"/>
      <c r="D23" s="53"/>
      <c r="E23" s="22">
        <v>2.12</v>
      </c>
      <c r="F23" s="15" t="s">
        <v>17</v>
      </c>
    </row>
    <row r="24" spans="1:8">
      <c r="A24" s="15"/>
      <c r="B24" s="15"/>
      <c r="D24" s="53"/>
      <c r="E24" s="22">
        <v>2.2200000000000002</v>
      </c>
      <c r="F24" s="15" t="s">
        <v>17</v>
      </c>
    </row>
    <row r="25" spans="1:8">
      <c r="A25" s="15"/>
      <c r="B25" s="15"/>
      <c r="D25" s="53"/>
      <c r="E25" s="22">
        <v>2.2599999999999998</v>
      </c>
      <c r="F25" s="15" t="s">
        <v>298</v>
      </c>
    </row>
  </sheetData>
  <mergeCells count="5">
    <mergeCell ref="A1:I1"/>
    <mergeCell ref="A3:I3"/>
    <mergeCell ref="A2:C2"/>
    <mergeCell ref="E2:I2"/>
    <mergeCell ref="D4:D25"/>
  </mergeCells>
  <pageMargins left="0.7" right="0.7" top="0.75" bottom="0.75" header="0.3" footer="0.3"/>
  <pageSetup paperSize="9" scale="75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B050"/>
  </sheetPr>
  <dimension ref="A1:I43"/>
  <sheetViews>
    <sheetView view="pageBreakPreview" topLeftCell="A10" zoomScaleNormal="100" zoomScaleSheetLayoutView="100" workbookViewId="0">
      <selection activeCell="M41" sqref="M41"/>
    </sheetView>
  </sheetViews>
  <sheetFormatPr defaultRowHeight="15.75"/>
  <cols>
    <col min="1" max="1" width="22.28515625" style="11" bestFit="1" customWidth="1"/>
    <col min="2" max="2" width="9.140625" style="11"/>
    <col min="3" max="3" width="10.28515625" style="11" customWidth="1"/>
    <col min="4" max="16384" width="9.140625" style="11"/>
  </cols>
  <sheetData>
    <row r="1" spans="1:9">
      <c r="A1" s="58" t="s">
        <v>31</v>
      </c>
      <c r="B1" s="58"/>
      <c r="C1" s="58"/>
      <c r="D1" s="58"/>
      <c r="E1" s="58"/>
      <c r="F1" s="58"/>
      <c r="G1" s="58"/>
      <c r="H1" s="58"/>
      <c r="I1" s="58"/>
    </row>
    <row r="2" spans="1:9">
      <c r="A2" s="54" t="s">
        <v>1</v>
      </c>
      <c r="B2" s="54"/>
      <c r="C2" s="54"/>
      <c r="D2" s="12"/>
      <c r="E2" s="55" t="s">
        <v>2</v>
      </c>
      <c r="F2" s="55"/>
      <c r="G2" s="55"/>
      <c r="H2" s="55"/>
      <c r="I2" s="55"/>
    </row>
    <row r="3" spans="1:9">
      <c r="A3" s="51" t="s">
        <v>32</v>
      </c>
      <c r="B3" s="51"/>
      <c r="C3" s="51"/>
      <c r="D3" s="51"/>
      <c r="E3" s="51"/>
      <c r="F3" s="51"/>
      <c r="G3" s="51"/>
      <c r="H3" s="51"/>
      <c r="I3" s="51"/>
    </row>
    <row r="4" spans="1:9" ht="17.25" customHeight="1">
      <c r="A4" s="13" t="s">
        <v>33</v>
      </c>
      <c r="B4" s="14"/>
      <c r="C4" s="14"/>
      <c r="D4" s="56" t="s">
        <v>4</v>
      </c>
      <c r="E4" s="15" t="s">
        <v>35</v>
      </c>
      <c r="F4" s="13"/>
      <c r="G4" s="13"/>
      <c r="H4" s="14"/>
    </row>
    <row r="5" spans="1:9">
      <c r="A5" s="15" t="s">
        <v>34</v>
      </c>
      <c r="B5" s="17"/>
      <c r="C5" s="17"/>
      <c r="D5" s="56"/>
      <c r="E5" s="13">
        <v>0.495</v>
      </c>
      <c r="F5" s="15" t="s">
        <v>36</v>
      </c>
      <c r="G5" s="15"/>
    </row>
    <row r="6" spans="1:9">
      <c r="A6" s="15"/>
      <c r="D6" s="56"/>
      <c r="E6" s="18">
        <v>0.94499999999999995</v>
      </c>
      <c r="F6" s="15" t="s">
        <v>37</v>
      </c>
      <c r="G6" s="15"/>
    </row>
    <row r="7" spans="1:9">
      <c r="A7" s="15"/>
      <c r="D7" s="56"/>
      <c r="E7" s="15">
        <v>1.56</v>
      </c>
      <c r="F7" s="15" t="s">
        <v>37</v>
      </c>
      <c r="G7" s="15"/>
    </row>
    <row r="8" spans="1:9">
      <c r="A8" s="15"/>
      <c r="B8" s="30"/>
      <c r="D8" s="56"/>
      <c r="E8" s="18">
        <v>2.04</v>
      </c>
      <c r="F8" s="15" t="s">
        <v>37</v>
      </c>
      <c r="G8" s="15"/>
    </row>
    <row r="9" spans="1:9">
      <c r="A9" s="15"/>
      <c r="B9" s="31"/>
      <c r="D9" s="56"/>
      <c r="E9" s="18">
        <v>2.1</v>
      </c>
      <c r="F9" s="15" t="s">
        <v>17</v>
      </c>
      <c r="G9" s="15"/>
    </row>
    <row r="10" spans="1:9">
      <c r="A10" s="15"/>
      <c r="B10" s="17"/>
      <c r="D10" s="56"/>
      <c r="E10" s="18">
        <v>2.19</v>
      </c>
      <c r="F10" s="15" t="s">
        <v>38</v>
      </c>
      <c r="G10" s="15"/>
    </row>
    <row r="11" spans="1:9">
      <c r="A11" s="15"/>
      <c r="B11" s="31"/>
      <c r="D11" s="56"/>
      <c r="E11" s="18">
        <v>2.2799999999999998</v>
      </c>
      <c r="F11" s="15" t="s">
        <v>38</v>
      </c>
      <c r="G11" s="15"/>
    </row>
    <row r="12" spans="1:9">
      <c r="A12" s="15"/>
      <c r="B12" s="32"/>
      <c r="D12" s="56"/>
      <c r="E12" s="18">
        <v>2.37</v>
      </c>
      <c r="F12" s="15" t="s">
        <v>38</v>
      </c>
      <c r="G12" s="15"/>
    </row>
    <row r="13" spans="1:9">
      <c r="A13" s="15"/>
      <c r="D13" s="56"/>
      <c r="E13" s="18">
        <v>2.46</v>
      </c>
      <c r="F13" s="15" t="s">
        <v>38</v>
      </c>
      <c r="G13" s="15"/>
    </row>
    <row r="14" spans="1:9">
      <c r="A14" s="15"/>
      <c r="D14" s="56"/>
      <c r="E14" s="22">
        <v>2.52</v>
      </c>
      <c r="F14" s="15" t="s">
        <v>37</v>
      </c>
      <c r="G14" s="15"/>
    </row>
    <row r="15" spans="1:9">
      <c r="A15" s="15"/>
      <c r="D15" s="56"/>
      <c r="E15" s="22">
        <v>2.76</v>
      </c>
      <c r="F15" s="15" t="s">
        <v>39</v>
      </c>
      <c r="G15" s="15"/>
    </row>
    <row r="16" spans="1:9">
      <c r="A16" s="15"/>
      <c r="D16" s="56"/>
      <c r="E16" s="22">
        <v>3.06</v>
      </c>
      <c r="F16" s="15" t="s">
        <v>38</v>
      </c>
      <c r="G16" s="15"/>
    </row>
    <row r="17" spans="1:8">
      <c r="A17" s="15"/>
      <c r="D17" s="56"/>
      <c r="E17" s="22">
        <v>3.2650000000000001</v>
      </c>
      <c r="F17" s="15" t="s">
        <v>37</v>
      </c>
      <c r="G17" s="15"/>
    </row>
    <row r="18" spans="1:8">
      <c r="A18" s="15"/>
      <c r="B18" s="33"/>
      <c r="D18" s="56"/>
      <c r="E18" s="22">
        <v>3.45</v>
      </c>
      <c r="F18" s="15" t="s">
        <v>38</v>
      </c>
      <c r="G18" s="15"/>
    </row>
    <row r="19" spans="1:8">
      <c r="A19" s="15"/>
      <c r="D19" s="56"/>
      <c r="E19" s="22">
        <v>3.605</v>
      </c>
      <c r="F19" s="15" t="s">
        <v>37</v>
      </c>
      <c r="G19" s="15"/>
    </row>
    <row r="20" spans="1:8">
      <c r="A20" s="15"/>
      <c r="D20" s="56"/>
      <c r="E20" s="22">
        <v>3.69</v>
      </c>
      <c r="F20" s="15" t="s">
        <v>17</v>
      </c>
      <c r="G20" s="15"/>
    </row>
    <row r="21" spans="1:8">
      <c r="A21" s="15"/>
      <c r="D21" s="56"/>
      <c r="E21" s="22">
        <v>4.2300000000000004</v>
      </c>
      <c r="F21" s="15" t="s">
        <v>17</v>
      </c>
      <c r="G21" s="15"/>
      <c r="H21" s="17"/>
    </row>
    <row r="22" spans="1:8">
      <c r="A22" s="15"/>
      <c r="D22" s="56"/>
      <c r="E22" s="22">
        <v>4.32</v>
      </c>
      <c r="F22" s="15" t="s">
        <v>17</v>
      </c>
      <c r="G22" s="15"/>
    </row>
    <row r="23" spans="1:8">
      <c r="A23" s="15"/>
      <c r="D23" s="56"/>
      <c r="E23" s="22">
        <v>4.5599999999999996</v>
      </c>
      <c r="F23" s="15" t="s">
        <v>17</v>
      </c>
      <c r="G23" s="15"/>
    </row>
    <row r="24" spans="1:8">
      <c r="A24" s="15"/>
      <c r="D24" s="56"/>
      <c r="E24" s="22">
        <v>4.6500000000000004</v>
      </c>
      <c r="F24" s="15" t="s">
        <v>40</v>
      </c>
      <c r="G24" s="15"/>
    </row>
    <row r="25" spans="1:8">
      <c r="A25" s="15"/>
      <c r="D25" s="56"/>
      <c r="E25" s="22">
        <v>4.74</v>
      </c>
      <c r="F25" s="15" t="s">
        <v>40</v>
      </c>
      <c r="G25" s="15"/>
    </row>
    <row r="26" spans="1:8">
      <c r="A26" s="15"/>
      <c r="D26" s="56"/>
      <c r="E26" s="22">
        <v>4.83</v>
      </c>
      <c r="F26" s="15" t="s">
        <v>40</v>
      </c>
      <c r="G26" s="15"/>
    </row>
    <row r="27" spans="1:8">
      <c r="A27" s="15"/>
      <c r="D27" s="56"/>
      <c r="E27" s="22">
        <v>4.92</v>
      </c>
      <c r="F27" s="15" t="s">
        <v>17</v>
      </c>
      <c r="G27" s="15"/>
    </row>
    <row r="28" spans="1:8">
      <c r="A28" s="15"/>
      <c r="D28" s="56"/>
      <c r="E28" s="22">
        <v>5.16</v>
      </c>
      <c r="F28" s="15" t="s">
        <v>42</v>
      </c>
      <c r="G28" s="15" t="s">
        <v>41</v>
      </c>
    </row>
    <row r="29" spans="1:8">
      <c r="A29" s="15"/>
      <c r="D29" s="56"/>
      <c r="E29" s="22">
        <v>5.28</v>
      </c>
      <c r="F29" s="15" t="s">
        <v>17</v>
      </c>
      <c r="G29" s="15"/>
    </row>
    <row r="30" spans="1:8">
      <c r="A30" s="15"/>
      <c r="D30" s="56"/>
      <c r="E30" s="22">
        <v>5.61</v>
      </c>
      <c r="F30" s="15" t="s">
        <v>17</v>
      </c>
      <c r="G30" s="15"/>
    </row>
    <row r="31" spans="1:8">
      <c r="A31" s="15"/>
      <c r="D31" s="56"/>
      <c r="E31" s="22">
        <v>5.64</v>
      </c>
      <c r="F31" s="15" t="s">
        <v>43</v>
      </c>
      <c r="G31" s="15"/>
    </row>
    <row r="32" spans="1:8">
      <c r="A32" s="15"/>
      <c r="D32" s="34"/>
      <c r="E32" s="27"/>
    </row>
    <row r="33" spans="1:9">
      <c r="A33" s="51" t="s">
        <v>44</v>
      </c>
      <c r="B33" s="51"/>
      <c r="C33" s="51"/>
      <c r="D33" s="51"/>
      <c r="E33" s="51"/>
      <c r="F33" s="51"/>
      <c r="G33" s="17"/>
      <c r="H33" s="17"/>
      <c r="I33" s="17"/>
    </row>
    <row r="34" spans="1:9">
      <c r="A34" s="51" t="s">
        <v>49</v>
      </c>
      <c r="B34" s="51"/>
      <c r="C34" s="51" t="s">
        <v>50</v>
      </c>
      <c r="D34" s="51"/>
      <c r="E34" s="51" t="s">
        <v>51</v>
      </c>
      <c r="F34" s="51"/>
      <c r="G34" s="26"/>
      <c r="H34" s="26"/>
      <c r="I34" s="26"/>
    </row>
    <row r="35" spans="1:9">
      <c r="A35" s="51" t="s">
        <v>8</v>
      </c>
      <c r="B35" s="51"/>
      <c r="C35" s="57">
        <v>0.22</v>
      </c>
      <c r="D35" s="57"/>
      <c r="E35" s="51">
        <v>8.5699999999999998E-2</v>
      </c>
      <c r="F35" s="51"/>
    </row>
    <row r="36" spans="1:9">
      <c r="A36" s="51" t="s">
        <v>10</v>
      </c>
      <c r="B36" s="51"/>
      <c r="C36" s="57">
        <v>0.22320000000000001</v>
      </c>
      <c r="D36" s="57"/>
      <c r="E36" s="51">
        <v>0.1116</v>
      </c>
      <c r="F36" s="51"/>
    </row>
    <row r="37" spans="1:9">
      <c r="A37" s="51" t="s">
        <v>11</v>
      </c>
      <c r="B37" s="51"/>
      <c r="C37" s="57">
        <v>1.1000000000000001</v>
      </c>
      <c r="D37" s="57"/>
      <c r="E37" s="51">
        <v>0.8</v>
      </c>
      <c r="F37" s="51"/>
    </row>
    <row r="38" spans="1:9">
      <c r="A38" s="51" t="s">
        <v>45</v>
      </c>
      <c r="B38" s="51"/>
      <c r="C38" s="57">
        <v>0.5</v>
      </c>
      <c r="D38" s="57"/>
      <c r="E38" s="51">
        <v>0.4</v>
      </c>
      <c r="F38" s="51"/>
    </row>
    <row r="39" spans="1:9">
      <c r="A39" s="51" t="s">
        <v>15</v>
      </c>
      <c r="B39" s="51"/>
      <c r="C39" s="57" t="s">
        <v>52</v>
      </c>
      <c r="D39" s="57"/>
      <c r="E39" s="57" t="s">
        <v>52</v>
      </c>
      <c r="F39" s="57"/>
    </row>
    <row r="40" spans="1:9">
      <c r="A40" s="51" t="s">
        <v>46</v>
      </c>
      <c r="B40" s="51"/>
      <c r="C40" s="57">
        <v>0.3306</v>
      </c>
      <c r="D40" s="57"/>
      <c r="E40" s="51">
        <v>0.27900000000000003</v>
      </c>
      <c r="F40" s="51"/>
    </row>
    <row r="41" spans="1:9">
      <c r="A41" s="51" t="s">
        <v>47</v>
      </c>
      <c r="B41" s="51"/>
      <c r="C41" s="57">
        <v>232.32</v>
      </c>
      <c r="D41" s="57"/>
      <c r="E41" s="51">
        <v>221.48</v>
      </c>
      <c r="F41" s="51"/>
    </row>
    <row r="42" spans="1:9">
      <c r="A42" s="51" t="s">
        <v>48</v>
      </c>
      <c r="B42" s="51"/>
      <c r="C42" s="57">
        <v>232.82</v>
      </c>
      <c r="D42" s="57"/>
      <c r="E42" s="51">
        <v>221.88</v>
      </c>
      <c r="F42" s="51"/>
    </row>
    <row r="43" spans="1:9">
      <c r="A43" s="26"/>
      <c r="B43" s="26"/>
      <c r="C43" s="35"/>
    </row>
  </sheetData>
  <mergeCells count="33">
    <mergeCell ref="E41:F41"/>
    <mergeCell ref="E42:F42"/>
    <mergeCell ref="C39:D39"/>
    <mergeCell ref="C40:D40"/>
    <mergeCell ref="C41:D41"/>
    <mergeCell ref="C42:D42"/>
    <mergeCell ref="E40:F40"/>
    <mergeCell ref="A42:B42"/>
    <mergeCell ref="A41:B41"/>
    <mergeCell ref="A1:I1"/>
    <mergeCell ref="A3:I3"/>
    <mergeCell ref="A35:B35"/>
    <mergeCell ref="A36:B36"/>
    <mergeCell ref="A39:B39"/>
    <mergeCell ref="C34:D34"/>
    <mergeCell ref="E34:F34"/>
    <mergeCell ref="C35:D35"/>
    <mergeCell ref="C37:D37"/>
    <mergeCell ref="C36:D36"/>
    <mergeCell ref="C38:D38"/>
    <mergeCell ref="A37:B37"/>
    <mergeCell ref="A34:B34"/>
    <mergeCell ref="A38:B38"/>
    <mergeCell ref="A2:C2"/>
    <mergeCell ref="E2:I2"/>
    <mergeCell ref="D4:D31"/>
    <mergeCell ref="A33:F33"/>
    <mergeCell ref="A40:B40"/>
    <mergeCell ref="E35:F35"/>
    <mergeCell ref="E37:F37"/>
    <mergeCell ref="E36:F36"/>
    <mergeCell ref="E38:F38"/>
    <mergeCell ref="E39:F39"/>
  </mergeCells>
  <pageMargins left="0.7" right="0.7" top="0.75" bottom="0.75" header="0.3" footer="0.3"/>
  <pageSetup paperSize="9" scale="82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0B050"/>
  </sheetPr>
  <dimension ref="A1:K61"/>
  <sheetViews>
    <sheetView view="pageBreakPreview" topLeftCell="A31" zoomScaleNormal="100" zoomScaleSheetLayoutView="100" workbookViewId="0">
      <selection activeCell="N56" sqref="N56"/>
    </sheetView>
  </sheetViews>
  <sheetFormatPr defaultRowHeight="15"/>
  <cols>
    <col min="1" max="1" width="17.5703125" customWidth="1"/>
    <col min="2" max="2" width="10.5703125" customWidth="1"/>
    <col min="3" max="3" width="11.140625" customWidth="1"/>
    <col min="10" max="10" width="13.42578125" customWidth="1"/>
  </cols>
  <sheetData>
    <row r="1" spans="1:10" ht="15.75">
      <c r="A1" s="58" t="s">
        <v>53</v>
      </c>
      <c r="B1" s="58"/>
      <c r="C1" s="58"/>
      <c r="D1" s="58"/>
      <c r="E1" s="58"/>
      <c r="F1" s="58"/>
      <c r="G1" s="58"/>
      <c r="H1" s="58"/>
      <c r="I1" s="58"/>
      <c r="J1" s="58"/>
    </row>
    <row r="2" spans="1:10" ht="15.75">
      <c r="A2" s="54" t="s">
        <v>1</v>
      </c>
      <c r="B2" s="54"/>
      <c r="C2" s="54"/>
      <c r="D2" s="12"/>
      <c r="E2" s="55" t="s">
        <v>2</v>
      </c>
      <c r="F2" s="55"/>
      <c r="G2" s="55"/>
      <c r="H2" s="55"/>
      <c r="I2" s="55"/>
      <c r="J2" s="55"/>
    </row>
    <row r="3" spans="1:10" ht="15.75">
      <c r="A3" s="51" t="s">
        <v>54</v>
      </c>
      <c r="B3" s="51"/>
      <c r="C3" s="51"/>
      <c r="D3" s="51"/>
      <c r="E3" s="51"/>
      <c r="F3" s="51"/>
      <c r="G3" s="51"/>
      <c r="H3" s="51"/>
      <c r="I3" s="51"/>
      <c r="J3" s="51"/>
    </row>
    <row r="4" spans="1:10" ht="15" customHeight="1">
      <c r="A4" s="59" t="s">
        <v>59</v>
      </c>
      <c r="B4" s="59"/>
      <c r="C4" s="59"/>
      <c r="D4" s="56" t="s">
        <v>4</v>
      </c>
      <c r="E4" s="15" t="s">
        <v>55</v>
      </c>
      <c r="F4" s="13"/>
      <c r="G4" s="14"/>
      <c r="H4" s="14"/>
      <c r="I4" s="11"/>
      <c r="J4" s="11"/>
    </row>
    <row r="5" spans="1:10" ht="31.5">
      <c r="A5" s="24" t="s">
        <v>49</v>
      </c>
      <c r="B5" s="37" t="s">
        <v>60</v>
      </c>
      <c r="C5" s="37" t="s">
        <v>61</v>
      </c>
      <c r="D5" s="56"/>
      <c r="E5" s="18">
        <v>0.2</v>
      </c>
      <c r="F5" s="15" t="s">
        <v>56</v>
      </c>
      <c r="G5" s="11"/>
      <c r="H5" s="11"/>
      <c r="I5" s="11"/>
      <c r="J5" s="11"/>
    </row>
    <row r="6" spans="1:10" ht="15.75">
      <c r="A6" s="42" t="s">
        <v>305</v>
      </c>
      <c r="B6" s="26">
        <v>0.628</v>
      </c>
      <c r="C6" s="26">
        <v>0.3695</v>
      </c>
      <c r="D6" s="56"/>
      <c r="E6" s="18">
        <v>0.23499999999999999</v>
      </c>
      <c r="F6" s="15" t="s">
        <v>57</v>
      </c>
      <c r="G6" s="11"/>
      <c r="H6" s="11"/>
      <c r="I6" s="11"/>
      <c r="J6" s="11"/>
    </row>
    <row r="7" spans="1:10" ht="15.75">
      <c r="A7" s="42" t="s">
        <v>306</v>
      </c>
      <c r="B7" s="26">
        <v>0.64839999999999998</v>
      </c>
      <c r="C7" s="26">
        <v>0.50900000000000001</v>
      </c>
      <c r="D7" s="56"/>
      <c r="E7" s="15">
        <v>0.315</v>
      </c>
      <c r="F7" s="15" t="s">
        <v>38</v>
      </c>
      <c r="G7" s="11"/>
      <c r="H7" s="11"/>
      <c r="I7" s="11"/>
      <c r="J7" s="11"/>
    </row>
    <row r="8" spans="1:10" ht="15.75">
      <c r="A8" s="17" t="s">
        <v>302</v>
      </c>
      <c r="B8" s="38">
        <v>2</v>
      </c>
      <c r="C8" s="26">
        <v>2</v>
      </c>
      <c r="D8" s="56"/>
      <c r="E8" s="18">
        <v>0.45</v>
      </c>
      <c r="F8" s="15" t="s">
        <v>38</v>
      </c>
      <c r="G8" s="11"/>
      <c r="H8" s="11"/>
      <c r="I8" s="11"/>
      <c r="J8" s="11"/>
    </row>
    <row r="9" spans="1:10" ht="15.75">
      <c r="A9" s="17" t="s">
        <v>62</v>
      </c>
      <c r="B9" s="39">
        <v>0.6</v>
      </c>
      <c r="C9" s="26">
        <v>0.5</v>
      </c>
      <c r="D9" s="56"/>
      <c r="E9" s="18">
        <v>0.75700000000000001</v>
      </c>
      <c r="F9" s="15" t="s">
        <v>57</v>
      </c>
      <c r="G9" s="11"/>
      <c r="H9" s="11"/>
      <c r="I9" s="11"/>
      <c r="J9" s="11"/>
    </row>
    <row r="10" spans="1:10" ht="15.75">
      <c r="A10" s="17" t="s">
        <v>302</v>
      </c>
      <c r="B10" s="26" t="s">
        <v>63</v>
      </c>
      <c r="C10" s="26" t="s">
        <v>63</v>
      </c>
      <c r="D10" s="56"/>
      <c r="E10" s="18">
        <v>1.1399999999999999</v>
      </c>
      <c r="F10" s="15" t="s">
        <v>17</v>
      </c>
      <c r="G10" s="11"/>
      <c r="H10" s="11"/>
      <c r="I10" s="11"/>
      <c r="J10" s="11"/>
    </row>
    <row r="11" spans="1:10" ht="15.75">
      <c r="A11" s="17" t="s">
        <v>309</v>
      </c>
      <c r="B11" s="39">
        <v>2.5000000000000001E-2</v>
      </c>
      <c r="C11" s="39">
        <v>2.5000000000000001E-2</v>
      </c>
      <c r="D11" s="56"/>
      <c r="E11" s="18">
        <v>1.175</v>
      </c>
      <c r="F11" s="15" t="s">
        <v>57</v>
      </c>
      <c r="G11" s="11"/>
      <c r="H11" s="11"/>
      <c r="I11" s="11"/>
      <c r="J11" s="11"/>
    </row>
    <row r="12" spans="1:10" ht="15.75">
      <c r="A12" s="17" t="s">
        <v>310</v>
      </c>
      <c r="B12" s="28" t="s">
        <v>64</v>
      </c>
      <c r="C12" s="28" t="s">
        <v>64</v>
      </c>
      <c r="D12" s="56"/>
      <c r="E12" s="18">
        <v>1.786</v>
      </c>
      <c r="F12" s="15" t="s">
        <v>57</v>
      </c>
      <c r="G12" s="11"/>
      <c r="H12" s="11"/>
      <c r="I12" s="11"/>
      <c r="J12" s="11"/>
    </row>
    <row r="13" spans="1:10" ht="15.75">
      <c r="A13" s="17" t="s">
        <v>311</v>
      </c>
      <c r="B13" s="28" t="s">
        <v>65</v>
      </c>
      <c r="C13" s="28" t="s">
        <v>65</v>
      </c>
      <c r="D13" s="56"/>
      <c r="E13" s="18">
        <v>1.92</v>
      </c>
      <c r="F13" s="15" t="s">
        <v>38</v>
      </c>
      <c r="G13" s="11"/>
      <c r="H13" s="11"/>
      <c r="I13" s="11"/>
      <c r="J13" s="11"/>
    </row>
    <row r="14" spans="1:10" ht="15.75">
      <c r="A14" s="11"/>
      <c r="B14" s="32"/>
      <c r="C14" s="11"/>
      <c r="D14" s="56"/>
      <c r="E14" s="22">
        <v>2.0699999999999998</v>
      </c>
      <c r="F14" s="15" t="s">
        <v>38</v>
      </c>
      <c r="G14" s="11"/>
      <c r="H14" s="11"/>
      <c r="I14" s="11"/>
      <c r="J14" s="11"/>
    </row>
    <row r="15" spans="1:10" ht="15.75">
      <c r="A15" s="11" t="s">
        <v>66</v>
      </c>
      <c r="B15" s="11"/>
      <c r="C15" s="11"/>
      <c r="D15" s="56"/>
      <c r="E15" s="22">
        <v>2.2050000000000001</v>
      </c>
      <c r="F15" s="15" t="s">
        <v>38</v>
      </c>
      <c r="G15" s="11"/>
      <c r="H15" s="11"/>
      <c r="I15" s="11"/>
      <c r="J15" s="11"/>
    </row>
    <row r="16" spans="1:10" ht="15.75">
      <c r="A16" s="11"/>
      <c r="B16" s="11"/>
      <c r="C16" s="11"/>
      <c r="D16" s="56"/>
      <c r="E16" s="22">
        <v>2.37</v>
      </c>
      <c r="F16" s="15" t="s">
        <v>17</v>
      </c>
      <c r="G16" s="11"/>
      <c r="H16" s="11"/>
      <c r="I16" s="11"/>
      <c r="J16" s="11"/>
    </row>
    <row r="17" spans="1:11" ht="15.75">
      <c r="A17" s="11" t="s">
        <v>67</v>
      </c>
      <c r="B17" s="11"/>
      <c r="C17" s="11"/>
      <c r="D17" s="56"/>
      <c r="E17" s="22">
        <v>2.67</v>
      </c>
      <c r="F17" s="15" t="s">
        <v>17</v>
      </c>
      <c r="G17" s="11"/>
      <c r="H17" s="11"/>
      <c r="I17" s="11"/>
      <c r="J17" s="11"/>
    </row>
    <row r="18" spans="1:11" ht="15.75">
      <c r="A18" s="11" t="s">
        <v>68</v>
      </c>
      <c r="B18" s="33"/>
      <c r="C18" s="11"/>
      <c r="D18" s="56"/>
      <c r="E18" s="22">
        <v>2.82</v>
      </c>
      <c r="F18" s="15" t="s">
        <v>38</v>
      </c>
      <c r="G18" s="11"/>
      <c r="H18" s="11"/>
      <c r="I18" s="11"/>
      <c r="J18" s="11"/>
    </row>
    <row r="19" spans="1:11" ht="15.75">
      <c r="A19" s="11"/>
      <c r="B19" s="11"/>
      <c r="C19" s="11"/>
      <c r="D19" s="56"/>
      <c r="E19" s="22">
        <v>2.88</v>
      </c>
      <c r="F19" s="15" t="s">
        <v>38</v>
      </c>
      <c r="G19" s="11"/>
      <c r="H19" s="11"/>
      <c r="I19" s="11"/>
      <c r="J19" s="11"/>
    </row>
    <row r="20" spans="1:11" ht="15.75">
      <c r="A20" s="11" t="s">
        <v>69</v>
      </c>
      <c r="B20" s="11"/>
      <c r="C20" s="11" t="s">
        <v>70</v>
      </c>
      <c r="D20" s="56"/>
      <c r="E20" s="22">
        <v>2.9</v>
      </c>
      <c r="F20" s="15" t="s">
        <v>57</v>
      </c>
      <c r="G20" s="11"/>
      <c r="H20" s="11"/>
      <c r="I20" s="11"/>
      <c r="J20" s="11"/>
    </row>
    <row r="21" spans="1:11" ht="15.75">
      <c r="A21" s="11" t="s">
        <v>71</v>
      </c>
      <c r="B21" s="11"/>
      <c r="C21" s="11"/>
      <c r="D21" s="56"/>
      <c r="E21" s="22">
        <v>2.9249999999999998</v>
      </c>
      <c r="F21" s="15" t="s">
        <v>38</v>
      </c>
      <c r="G21" s="17"/>
      <c r="H21" s="17"/>
      <c r="I21" s="11"/>
      <c r="J21" s="11"/>
    </row>
    <row r="22" spans="1:11" ht="15.75">
      <c r="A22" s="11"/>
      <c r="B22" s="11"/>
      <c r="C22" s="11"/>
      <c r="D22" s="56"/>
      <c r="E22" s="22">
        <v>3.06</v>
      </c>
      <c r="F22" s="15" t="s">
        <v>38</v>
      </c>
      <c r="G22" s="11"/>
      <c r="H22" s="11"/>
      <c r="I22" s="11"/>
      <c r="J22" s="11"/>
    </row>
    <row r="23" spans="1:11" ht="15.75">
      <c r="A23" s="11"/>
      <c r="B23" s="11"/>
      <c r="C23" s="11"/>
      <c r="D23" s="56"/>
      <c r="E23" s="22">
        <v>3.165</v>
      </c>
      <c r="F23" s="15" t="s">
        <v>38</v>
      </c>
      <c r="G23" s="11"/>
      <c r="H23" s="11"/>
      <c r="I23" s="11"/>
      <c r="J23" s="11"/>
    </row>
    <row r="24" spans="1:11" ht="15.75">
      <c r="A24" s="11"/>
      <c r="B24" s="11"/>
      <c r="C24" s="11"/>
      <c r="D24" s="56"/>
      <c r="E24" s="22">
        <v>3.2250000000000001</v>
      </c>
      <c r="F24" s="15" t="s">
        <v>38</v>
      </c>
      <c r="G24" s="11"/>
      <c r="H24" s="11"/>
      <c r="I24" s="11"/>
      <c r="J24" s="11"/>
    </row>
    <row r="25" spans="1:11" ht="15.75">
      <c r="A25" s="59" t="s">
        <v>59</v>
      </c>
      <c r="B25" s="59"/>
      <c r="C25" s="59"/>
      <c r="D25" s="56"/>
      <c r="E25" s="22">
        <v>3.31</v>
      </c>
      <c r="F25" s="15" t="s">
        <v>57</v>
      </c>
      <c r="G25" s="11"/>
      <c r="H25" s="11"/>
      <c r="I25" s="11"/>
      <c r="J25" s="11"/>
    </row>
    <row r="26" spans="1:11" ht="31.5">
      <c r="A26" s="24" t="s">
        <v>49</v>
      </c>
      <c r="B26" s="37" t="s">
        <v>72</v>
      </c>
      <c r="C26" s="37" t="s">
        <v>73</v>
      </c>
      <c r="D26" s="56"/>
      <c r="E26" s="22">
        <v>3.51</v>
      </c>
      <c r="F26" s="15" t="s">
        <v>38</v>
      </c>
      <c r="G26" s="11"/>
      <c r="H26" s="11"/>
      <c r="I26" s="11"/>
      <c r="J26" s="11"/>
    </row>
    <row r="27" spans="1:11" ht="15.75">
      <c r="A27" s="15" t="s">
        <v>300</v>
      </c>
      <c r="B27" s="26"/>
      <c r="C27" s="26"/>
      <c r="D27" s="56"/>
      <c r="E27" s="22">
        <v>3.6</v>
      </c>
      <c r="F27" s="15" t="s">
        <v>38</v>
      </c>
      <c r="G27" s="11"/>
      <c r="H27" s="11"/>
      <c r="I27" s="11"/>
      <c r="J27" s="11"/>
      <c r="K27" t="str">
        <f t="shared" ref="K27:K32" si="0">(LOWER(A27))</f>
        <v>discharge ( r)</v>
      </c>
    </row>
    <row r="28" spans="1:11" ht="15.75">
      <c r="A28" s="15" t="s">
        <v>301</v>
      </c>
      <c r="B28" s="26"/>
      <c r="C28" s="26"/>
      <c r="D28" s="56"/>
      <c r="E28" s="22">
        <v>3.7050000000000001</v>
      </c>
      <c r="F28" s="15" t="s">
        <v>38</v>
      </c>
      <c r="G28" s="11"/>
      <c r="H28" s="11"/>
      <c r="I28" s="11"/>
      <c r="J28" s="11"/>
      <c r="K28" t="str">
        <f t="shared" si="0"/>
        <v>discharge (d)</v>
      </c>
    </row>
    <row r="29" spans="1:11" ht="15.75">
      <c r="A29" s="15" t="s">
        <v>302</v>
      </c>
      <c r="B29" s="40">
        <v>1</v>
      </c>
      <c r="C29" s="41">
        <v>0.5</v>
      </c>
      <c r="D29" s="56"/>
      <c r="E29" s="22">
        <v>3.84</v>
      </c>
      <c r="F29" s="15" t="s">
        <v>38</v>
      </c>
      <c r="G29" s="11"/>
      <c r="H29" s="11"/>
      <c r="I29" s="11"/>
      <c r="J29" s="11"/>
      <c r="K29" t="str">
        <f t="shared" si="0"/>
        <v>bed width</v>
      </c>
    </row>
    <row r="30" spans="1:11" ht="15.75">
      <c r="A30" s="15" t="s">
        <v>62</v>
      </c>
      <c r="B30" s="39">
        <v>0.5</v>
      </c>
      <c r="C30" s="26">
        <v>0.3</v>
      </c>
      <c r="D30" s="56"/>
      <c r="E30" s="22">
        <v>3.99</v>
      </c>
      <c r="F30" s="15" t="s">
        <v>38</v>
      </c>
      <c r="G30" s="11"/>
      <c r="H30" s="11"/>
      <c r="I30" s="11"/>
      <c r="J30" s="11"/>
      <c r="K30" t="str">
        <f t="shared" si="0"/>
        <v xml:space="preserve">fsd </v>
      </c>
    </row>
    <row r="31" spans="1:11" ht="15.75">
      <c r="A31" s="15" t="s">
        <v>302</v>
      </c>
      <c r="B31" s="26" t="s">
        <v>63</v>
      </c>
      <c r="C31" s="26" t="s">
        <v>63</v>
      </c>
      <c r="D31" s="56"/>
      <c r="E31" s="22">
        <v>4.08</v>
      </c>
      <c r="F31" s="15" t="s">
        <v>38</v>
      </c>
      <c r="G31" s="11"/>
      <c r="H31" s="11"/>
      <c r="I31" s="11"/>
      <c r="J31" s="11"/>
      <c r="K31" t="str">
        <f t="shared" si="0"/>
        <v>bed width</v>
      </c>
    </row>
    <row r="32" spans="1:11" ht="15.75">
      <c r="A32" s="15" t="s">
        <v>303</v>
      </c>
      <c r="B32" s="39">
        <v>2.5000000000000001E-2</v>
      </c>
      <c r="C32" s="39">
        <v>2.5000000000000001E-2</v>
      </c>
      <c r="D32" s="56"/>
      <c r="E32" s="22">
        <v>4.17</v>
      </c>
      <c r="F32" s="15" t="s">
        <v>38</v>
      </c>
      <c r="G32" s="11"/>
      <c r="H32" s="11"/>
      <c r="I32" s="11"/>
      <c r="J32" s="11"/>
      <c r="K32" t="str">
        <f t="shared" si="0"/>
        <v>value of n</v>
      </c>
    </row>
    <row r="33" spans="1:10" ht="15.75">
      <c r="A33" s="17"/>
      <c r="B33" s="28"/>
      <c r="C33" s="28"/>
      <c r="D33" s="56"/>
      <c r="E33" s="22">
        <v>4.2380000000000004</v>
      </c>
      <c r="F33" s="15" t="s">
        <v>58</v>
      </c>
      <c r="G33" s="11"/>
      <c r="H33" s="11"/>
      <c r="I33" s="11"/>
      <c r="J33" s="11"/>
    </row>
    <row r="34" spans="1:10" ht="15.75">
      <c r="A34" s="17" t="s">
        <v>82</v>
      </c>
      <c r="B34" s="28"/>
      <c r="C34" s="28" t="s">
        <v>83</v>
      </c>
      <c r="D34" s="56"/>
      <c r="E34" s="22">
        <v>4.54</v>
      </c>
      <c r="F34" s="15" t="s">
        <v>57</v>
      </c>
      <c r="G34" s="11"/>
      <c r="H34" s="11"/>
      <c r="I34" s="11"/>
      <c r="J34" s="11"/>
    </row>
    <row r="35" spans="1:10" ht="15.75">
      <c r="A35" s="17" t="s">
        <v>84</v>
      </c>
      <c r="B35" s="11"/>
      <c r="C35" s="11"/>
      <c r="D35" s="56"/>
      <c r="E35" s="22">
        <v>4.5599999999999996</v>
      </c>
      <c r="F35" s="15" t="s">
        <v>17</v>
      </c>
      <c r="G35" s="11"/>
      <c r="H35" s="11"/>
      <c r="I35" s="11"/>
      <c r="J35" s="11"/>
    </row>
    <row r="36" spans="1:10" ht="15.75">
      <c r="A36" s="11"/>
      <c r="B36" s="11"/>
      <c r="C36" s="11"/>
      <c r="D36" s="56"/>
      <c r="E36" s="22">
        <v>4.74</v>
      </c>
      <c r="F36" s="15" t="s">
        <v>17</v>
      </c>
      <c r="G36" s="11"/>
      <c r="H36" s="11"/>
      <c r="I36" s="11"/>
      <c r="J36" s="11"/>
    </row>
    <row r="37" spans="1:10" ht="15.75">
      <c r="A37" s="11" t="s">
        <v>85</v>
      </c>
      <c r="B37" s="11"/>
      <c r="C37" s="11" t="s">
        <v>86</v>
      </c>
      <c r="D37" s="56"/>
      <c r="E37" s="22">
        <v>5.48</v>
      </c>
      <c r="F37" s="15" t="s">
        <v>57</v>
      </c>
      <c r="G37" s="11"/>
      <c r="H37" s="11"/>
      <c r="I37" s="11"/>
      <c r="J37" s="11"/>
    </row>
    <row r="38" spans="1:10" ht="15.75">
      <c r="A38" s="11" t="s">
        <v>87</v>
      </c>
      <c r="B38" s="11"/>
      <c r="C38" s="11"/>
      <c r="D38" s="56"/>
      <c r="E38" s="22">
        <v>5.55</v>
      </c>
      <c r="F38" s="15" t="s">
        <v>57</v>
      </c>
      <c r="G38" s="11"/>
      <c r="H38" s="11"/>
      <c r="I38" s="11"/>
      <c r="J38" s="11"/>
    </row>
    <row r="39" spans="1:10" ht="15.75">
      <c r="A39" s="11"/>
      <c r="B39" s="11"/>
      <c r="C39" s="11"/>
      <c r="D39" s="56"/>
      <c r="E39" s="22">
        <v>6.45</v>
      </c>
      <c r="F39" s="15" t="s">
        <v>75</v>
      </c>
      <c r="G39" s="11"/>
      <c r="H39" s="11"/>
      <c r="I39" s="11"/>
      <c r="J39" s="11"/>
    </row>
    <row r="40" spans="1:10" ht="15.75">
      <c r="A40" s="11"/>
      <c r="B40" s="11"/>
      <c r="C40" s="11"/>
      <c r="D40" s="56"/>
      <c r="E40" s="22">
        <v>6.57</v>
      </c>
      <c r="F40" s="15" t="s">
        <v>17</v>
      </c>
      <c r="G40" s="11"/>
      <c r="H40" s="11"/>
      <c r="I40" s="11"/>
      <c r="J40" s="11"/>
    </row>
    <row r="41" spans="1:10" ht="15.75">
      <c r="A41" s="11"/>
      <c r="B41" s="11"/>
      <c r="C41" s="11"/>
      <c r="D41" s="56"/>
      <c r="E41" s="22">
        <v>6.75</v>
      </c>
      <c r="F41" s="15" t="s">
        <v>76</v>
      </c>
      <c r="G41" s="11"/>
      <c r="H41" s="11"/>
      <c r="I41" s="11"/>
      <c r="J41" s="11"/>
    </row>
    <row r="42" spans="1:10" ht="15.75">
      <c r="A42" s="11"/>
      <c r="B42" s="11"/>
      <c r="C42" s="11"/>
      <c r="D42" s="56"/>
      <c r="E42" s="22">
        <v>6.9</v>
      </c>
      <c r="F42" s="15" t="s">
        <v>76</v>
      </c>
      <c r="G42" s="11"/>
      <c r="H42" s="11"/>
      <c r="I42" s="11"/>
      <c r="J42" s="11"/>
    </row>
    <row r="43" spans="1:10" ht="15.75">
      <c r="A43" s="11" t="s">
        <v>88</v>
      </c>
      <c r="B43" s="11"/>
      <c r="C43" s="11"/>
      <c r="D43" s="56"/>
      <c r="E43" s="22">
        <v>7</v>
      </c>
      <c r="F43" s="15" t="s">
        <v>77</v>
      </c>
      <c r="G43" s="11"/>
      <c r="H43" s="11"/>
      <c r="I43" s="11"/>
      <c r="J43" s="11"/>
    </row>
    <row r="44" spans="1:10" ht="15.75">
      <c r="A44" s="11"/>
      <c r="B44" s="11"/>
      <c r="C44" s="11"/>
      <c r="D44" s="56"/>
      <c r="E44" s="22">
        <v>7.02</v>
      </c>
      <c r="F44" s="15" t="s">
        <v>77</v>
      </c>
      <c r="G44" s="11"/>
      <c r="H44" s="11"/>
      <c r="I44" s="11"/>
      <c r="J44" s="11"/>
    </row>
    <row r="45" spans="1:10" ht="15.75">
      <c r="A45" s="11"/>
      <c r="B45" s="11"/>
      <c r="C45" s="11"/>
      <c r="D45" s="56"/>
      <c r="E45" s="22">
        <v>7.125</v>
      </c>
      <c r="F45" s="15" t="s">
        <v>57</v>
      </c>
      <c r="G45" s="11"/>
      <c r="H45" s="11"/>
      <c r="I45" s="11"/>
      <c r="J45" s="11"/>
    </row>
    <row r="46" spans="1:10" ht="15.75">
      <c r="A46" s="11"/>
      <c r="B46" s="11"/>
      <c r="C46" s="11"/>
      <c r="D46" s="56"/>
      <c r="E46" s="22">
        <v>7.26</v>
      </c>
      <c r="F46" s="15" t="s">
        <v>38</v>
      </c>
      <c r="G46" s="11"/>
      <c r="H46" s="11"/>
      <c r="I46" s="11"/>
      <c r="J46" s="11"/>
    </row>
    <row r="47" spans="1:10" ht="15.75">
      <c r="A47" s="11" t="s">
        <v>89</v>
      </c>
      <c r="B47" s="11" t="s">
        <v>90</v>
      </c>
      <c r="C47" s="11" t="s">
        <v>91</v>
      </c>
      <c r="D47" s="56"/>
      <c r="E47" s="22">
        <v>7.47</v>
      </c>
      <c r="F47" s="15" t="s">
        <v>78</v>
      </c>
      <c r="G47" s="11"/>
      <c r="H47" s="11"/>
      <c r="I47" s="11"/>
      <c r="J47" s="11"/>
    </row>
    <row r="48" spans="1:10" ht="15.75">
      <c r="A48" s="11"/>
      <c r="B48" s="11"/>
      <c r="C48" s="11"/>
      <c r="D48" s="56"/>
      <c r="E48" s="22">
        <v>7.62</v>
      </c>
      <c r="F48" s="15" t="s">
        <v>79</v>
      </c>
      <c r="G48" s="11"/>
      <c r="H48" s="11"/>
      <c r="I48" s="11"/>
      <c r="J48" s="11"/>
    </row>
    <row r="49" spans="1:10" ht="15.75">
      <c r="A49" s="11"/>
      <c r="B49" s="11"/>
      <c r="C49" s="11"/>
      <c r="D49" s="56"/>
      <c r="E49" s="22">
        <v>7.83</v>
      </c>
      <c r="F49" s="15" t="s">
        <v>79</v>
      </c>
      <c r="G49" s="11"/>
      <c r="H49" s="11"/>
      <c r="I49" s="11"/>
      <c r="J49" s="11"/>
    </row>
    <row r="50" spans="1:10" ht="15.75">
      <c r="A50" s="11"/>
      <c r="B50" s="11"/>
      <c r="C50" s="11"/>
      <c r="D50" s="56"/>
      <c r="E50" s="22">
        <v>8.1</v>
      </c>
      <c r="F50" s="15" t="s">
        <v>79</v>
      </c>
      <c r="G50" s="11"/>
      <c r="H50" s="11"/>
      <c r="I50" s="11"/>
      <c r="J50" s="11"/>
    </row>
    <row r="51" spans="1:10" ht="15.75">
      <c r="A51" s="11"/>
      <c r="B51" s="11"/>
      <c r="C51" s="11"/>
      <c r="D51" s="56"/>
      <c r="E51" s="22">
        <v>8.31</v>
      </c>
      <c r="F51" s="15" t="s">
        <v>79</v>
      </c>
      <c r="G51" s="11"/>
      <c r="H51" s="11"/>
      <c r="I51" s="11"/>
      <c r="J51" s="11"/>
    </row>
    <row r="52" spans="1:10" ht="15.75">
      <c r="A52" s="11"/>
      <c r="B52" s="11"/>
      <c r="C52" s="11"/>
      <c r="D52" s="56"/>
      <c r="E52" s="22">
        <v>8.3699999999999992</v>
      </c>
      <c r="F52" s="15" t="s">
        <v>57</v>
      </c>
      <c r="G52" s="11"/>
      <c r="H52" s="11"/>
      <c r="I52" s="11"/>
      <c r="J52" s="11"/>
    </row>
    <row r="53" spans="1:10" ht="15.75">
      <c r="A53" s="11"/>
      <c r="B53" s="11"/>
      <c r="C53" s="11"/>
      <c r="D53" s="56"/>
      <c r="E53" s="22">
        <v>8.5500000000000007</v>
      </c>
      <c r="F53" s="15" t="s">
        <v>79</v>
      </c>
      <c r="G53" s="11"/>
      <c r="H53" s="11"/>
      <c r="I53" s="11"/>
      <c r="J53" s="11"/>
    </row>
    <row r="54" spans="1:10" ht="15.75">
      <c r="A54" s="11"/>
      <c r="B54" s="11"/>
      <c r="C54" s="11"/>
      <c r="D54" s="56"/>
      <c r="E54" s="22">
        <v>8.67</v>
      </c>
      <c r="F54" s="15" t="s">
        <v>79</v>
      </c>
      <c r="G54" s="11"/>
      <c r="H54" s="11"/>
      <c r="I54" s="11"/>
      <c r="J54" s="11"/>
    </row>
    <row r="55" spans="1:10" ht="15.75">
      <c r="A55" s="11"/>
      <c r="B55" s="11"/>
      <c r="C55" s="11"/>
      <c r="D55" s="56"/>
      <c r="E55" s="22">
        <v>8.85</v>
      </c>
      <c r="F55" s="15" t="s">
        <v>80</v>
      </c>
      <c r="G55" s="11"/>
      <c r="H55" s="11"/>
      <c r="I55" s="11"/>
      <c r="J55" s="11"/>
    </row>
    <row r="56" spans="1:10" ht="15.75">
      <c r="A56" s="11"/>
      <c r="B56" s="11"/>
      <c r="C56" s="11"/>
      <c r="D56" s="56"/>
      <c r="E56" s="22">
        <v>9</v>
      </c>
      <c r="F56" s="15" t="s">
        <v>81</v>
      </c>
      <c r="G56" s="11"/>
      <c r="H56" s="11"/>
      <c r="I56" s="11"/>
      <c r="J56" s="11"/>
    </row>
    <row r="57" spans="1:10" ht="15.75">
      <c r="A57" s="11"/>
      <c r="B57" s="11"/>
      <c r="C57" s="11"/>
      <c r="D57" s="56"/>
      <c r="E57" s="22">
        <v>9.24</v>
      </c>
      <c r="F57" s="15" t="s">
        <v>78</v>
      </c>
      <c r="G57" s="11"/>
      <c r="H57" s="11"/>
      <c r="I57" s="11"/>
      <c r="J57" s="11"/>
    </row>
    <row r="58" spans="1:10" ht="15.75">
      <c r="A58" s="11"/>
      <c r="B58" s="11"/>
      <c r="C58" s="11"/>
      <c r="D58" s="56"/>
      <c r="E58" s="22">
        <v>9.39</v>
      </c>
      <c r="F58" s="15" t="s">
        <v>77</v>
      </c>
      <c r="G58" s="11"/>
      <c r="H58" s="11"/>
      <c r="I58" s="11"/>
      <c r="J58" s="11"/>
    </row>
    <row r="59" spans="1:10" ht="15.75">
      <c r="A59" s="11"/>
      <c r="B59" s="11"/>
      <c r="C59" s="11"/>
      <c r="D59" s="56"/>
      <c r="E59" s="22">
        <v>9.57</v>
      </c>
      <c r="F59" s="15" t="s">
        <v>77</v>
      </c>
      <c r="G59" s="11"/>
      <c r="H59" s="11"/>
      <c r="I59" s="11"/>
      <c r="J59" s="11"/>
    </row>
    <row r="60" spans="1:10" ht="15.75">
      <c r="A60" s="11"/>
      <c r="B60" s="11"/>
      <c r="C60" s="11"/>
      <c r="D60" s="56"/>
      <c r="E60" s="22">
        <v>9.66</v>
      </c>
      <c r="F60" s="15" t="s">
        <v>308</v>
      </c>
      <c r="G60" s="11"/>
      <c r="H60" s="11"/>
      <c r="I60" s="11"/>
      <c r="J60" s="11"/>
    </row>
    <row r="61" spans="1:10" ht="15.75">
      <c r="A61" s="11"/>
      <c r="B61" s="11"/>
      <c r="C61" s="11"/>
      <c r="D61" s="56"/>
      <c r="E61" s="15" t="s">
        <v>74</v>
      </c>
      <c r="F61" s="15"/>
      <c r="G61" s="11"/>
      <c r="H61" s="11"/>
      <c r="I61" s="11"/>
      <c r="J61" s="11"/>
    </row>
  </sheetData>
  <mergeCells count="7">
    <mergeCell ref="A25:C25"/>
    <mergeCell ref="A4:C4"/>
    <mergeCell ref="A2:C2"/>
    <mergeCell ref="A1:J1"/>
    <mergeCell ref="E2:J2"/>
    <mergeCell ref="A3:J3"/>
    <mergeCell ref="D4:D61"/>
  </mergeCells>
  <pageMargins left="0.7" right="0.7" top="0.75" bottom="0.75" header="0.3" footer="0.3"/>
  <pageSetup paperSize="9" scale="76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0B050"/>
  </sheetPr>
  <dimension ref="A1:J54"/>
  <sheetViews>
    <sheetView view="pageBreakPreview" zoomScaleNormal="100" zoomScaleSheetLayoutView="100" workbookViewId="0">
      <selection activeCell="U24" sqref="U24"/>
    </sheetView>
  </sheetViews>
  <sheetFormatPr defaultRowHeight="14.25"/>
  <cols>
    <col min="1" max="2" width="9.140625" style="2"/>
    <col min="3" max="3" width="12.140625" style="2" customWidth="1"/>
    <col min="4" max="9" width="9.140625" style="2"/>
    <col min="10" max="10" width="19.5703125" style="2" customWidth="1"/>
    <col min="11" max="11" width="4.140625" style="2" customWidth="1"/>
    <col min="12" max="16384" width="9.140625" style="2"/>
  </cols>
  <sheetData>
    <row r="1" spans="1:10" ht="15.75">
      <c r="A1" s="58" t="s">
        <v>92</v>
      </c>
      <c r="B1" s="58"/>
      <c r="C1" s="58"/>
      <c r="D1" s="58"/>
      <c r="E1" s="58"/>
      <c r="F1" s="58"/>
      <c r="G1" s="58"/>
      <c r="H1" s="58"/>
      <c r="I1" s="58"/>
      <c r="J1" s="58"/>
    </row>
    <row r="2" spans="1:10" ht="15.75">
      <c r="A2" s="54" t="s">
        <v>1</v>
      </c>
      <c r="B2" s="54"/>
      <c r="C2" s="54"/>
      <c r="D2" s="12"/>
      <c r="E2" s="55" t="s">
        <v>2</v>
      </c>
      <c r="F2" s="55"/>
      <c r="G2" s="55"/>
      <c r="H2" s="55"/>
      <c r="I2" s="55"/>
      <c r="J2" s="55"/>
    </row>
    <row r="3" spans="1:10" ht="15.75">
      <c r="A3" s="51" t="s">
        <v>93</v>
      </c>
      <c r="B3" s="51"/>
      <c r="C3" s="51"/>
      <c r="D3" s="51"/>
      <c r="E3" s="51"/>
      <c r="F3" s="51"/>
      <c r="G3" s="51"/>
      <c r="H3" s="51"/>
      <c r="I3" s="51"/>
      <c r="J3" s="51"/>
    </row>
    <row r="4" spans="1:10" ht="15" customHeight="1">
      <c r="A4" s="59" t="s">
        <v>59</v>
      </c>
      <c r="B4" s="59"/>
      <c r="C4" s="59"/>
      <c r="D4" s="56" t="s">
        <v>132</v>
      </c>
      <c r="E4" s="15" t="s">
        <v>95</v>
      </c>
      <c r="F4" s="13"/>
      <c r="G4" s="13"/>
      <c r="H4" s="14"/>
      <c r="I4" s="11"/>
      <c r="J4" s="11"/>
    </row>
    <row r="5" spans="1:10" ht="15.75">
      <c r="A5" s="24" t="s">
        <v>94</v>
      </c>
      <c r="B5" s="37"/>
      <c r="C5" s="37"/>
      <c r="D5" s="56"/>
      <c r="E5" s="18">
        <v>0.12</v>
      </c>
      <c r="F5" s="15" t="s">
        <v>108</v>
      </c>
      <c r="G5" s="15"/>
      <c r="H5" s="11"/>
      <c r="I5" s="11"/>
      <c r="J5" s="11"/>
    </row>
    <row r="6" spans="1:10" ht="15.75">
      <c r="A6" s="26">
        <v>314.68</v>
      </c>
      <c r="B6" s="26"/>
      <c r="C6" s="26"/>
      <c r="D6" s="56"/>
      <c r="E6" s="18">
        <v>0.52500000000000002</v>
      </c>
      <c r="F6" s="15" t="s">
        <v>109</v>
      </c>
      <c r="G6" s="15"/>
      <c r="H6" s="11"/>
      <c r="I6" s="11"/>
      <c r="J6" s="11"/>
    </row>
    <row r="7" spans="1:10" ht="15.75">
      <c r="A7" s="26"/>
      <c r="B7" s="26"/>
      <c r="C7" s="26"/>
      <c r="D7" s="56"/>
      <c r="E7" s="15">
        <v>0.64500000000000002</v>
      </c>
      <c r="F7" s="15" t="s">
        <v>110</v>
      </c>
      <c r="G7" s="15"/>
      <c r="H7" s="11"/>
      <c r="I7" s="11"/>
      <c r="J7" s="11"/>
    </row>
    <row r="8" spans="1:10" ht="15.75">
      <c r="A8" s="17"/>
      <c r="B8" s="38"/>
      <c r="C8" s="26"/>
      <c r="D8" s="56"/>
      <c r="E8" s="18">
        <v>0.65</v>
      </c>
      <c r="F8" s="15" t="s">
        <v>111</v>
      </c>
      <c r="G8" s="15"/>
      <c r="H8" s="11"/>
      <c r="I8" s="11"/>
      <c r="J8" s="11"/>
    </row>
    <row r="9" spans="1:10" ht="15.75">
      <c r="A9" s="17" t="s">
        <v>97</v>
      </c>
      <c r="B9" s="39"/>
      <c r="C9" s="26" t="s">
        <v>98</v>
      </c>
      <c r="D9" s="56"/>
      <c r="E9" s="18">
        <v>0.84</v>
      </c>
      <c r="F9" s="15" t="s">
        <v>112</v>
      </c>
      <c r="G9" s="15"/>
      <c r="H9" s="11"/>
      <c r="I9" s="11"/>
      <c r="J9" s="11"/>
    </row>
    <row r="10" spans="1:10" ht="15.75">
      <c r="A10" s="17" t="s">
        <v>99</v>
      </c>
      <c r="B10" s="26"/>
      <c r="C10" s="26"/>
      <c r="D10" s="56"/>
      <c r="E10" s="18">
        <v>0.87</v>
      </c>
      <c r="F10" s="15" t="s">
        <v>113</v>
      </c>
      <c r="G10" s="15"/>
      <c r="H10" s="11"/>
      <c r="I10" s="11"/>
      <c r="J10" s="11"/>
    </row>
    <row r="11" spans="1:10" ht="15.75">
      <c r="A11" s="17" t="s">
        <v>100</v>
      </c>
      <c r="B11" s="39"/>
      <c r="C11" s="39"/>
      <c r="D11" s="56"/>
      <c r="E11" s="18">
        <v>1.05</v>
      </c>
      <c r="F11" s="15" t="s">
        <v>114</v>
      </c>
      <c r="G11" s="15"/>
      <c r="H11" s="11"/>
      <c r="I11" s="11"/>
      <c r="J11" s="11"/>
    </row>
    <row r="12" spans="1:10" ht="15.75">
      <c r="A12" s="17"/>
      <c r="B12" s="28"/>
      <c r="C12" s="28"/>
      <c r="D12" s="56"/>
      <c r="E12" s="18">
        <v>1.23</v>
      </c>
      <c r="F12" s="15" t="s">
        <v>115</v>
      </c>
      <c r="G12" s="15"/>
      <c r="H12" s="11"/>
      <c r="I12" s="11"/>
      <c r="J12" s="11"/>
    </row>
    <row r="13" spans="1:10" ht="15.75">
      <c r="A13" s="17" t="s">
        <v>101</v>
      </c>
      <c r="B13" s="28"/>
      <c r="C13" s="28" t="s">
        <v>103</v>
      </c>
      <c r="D13" s="56"/>
      <c r="E13" s="18">
        <v>1.26</v>
      </c>
      <c r="F13" s="15" t="s">
        <v>110</v>
      </c>
      <c r="G13" s="15"/>
      <c r="H13" s="11"/>
      <c r="I13" s="11"/>
      <c r="J13" s="11"/>
    </row>
    <row r="14" spans="1:10" ht="15.75">
      <c r="A14" s="17" t="s">
        <v>102</v>
      </c>
      <c r="B14" s="32"/>
      <c r="C14" s="11"/>
      <c r="D14" s="56"/>
      <c r="E14" s="22">
        <v>1.35</v>
      </c>
      <c r="F14" s="15" t="s">
        <v>116</v>
      </c>
      <c r="G14" s="15"/>
      <c r="H14" s="11"/>
      <c r="I14" s="11"/>
      <c r="J14" s="11"/>
    </row>
    <row r="15" spans="1:10" ht="15.75">
      <c r="A15" s="17" t="s">
        <v>104</v>
      </c>
      <c r="B15" s="11"/>
      <c r="C15" s="11"/>
      <c r="D15" s="56"/>
      <c r="E15" s="22">
        <v>1.41</v>
      </c>
      <c r="F15" s="15" t="s">
        <v>117</v>
      </c>
      <c r="G15" s="15"/>
      <c r="H15" s="11"/>
      <c r="I15" s="11"/>
      <c r="J15" s="11"/>
    </row>
    <row r="16" spans="1:10" ht="15.75">
      <c r="A16" s="11"/>
      <c r="B16" s="11"/>
      <c r="C16" s="11"/>
      <c r="D16" s="56"/>
      <c r="E16" s="22">
        <v>0</v>
      </c>
      <c r="F16" s="15" t="s">
        <v>118</v>
      </c>
      <c r="G16" s="15"/>
      <c r="H16" s="11"/>
      <c r="I16" s="11"/>
      <c r="J16" s="11"/>
    </row>
    <row r="17" spans="1:10" ht="15.75">
      <c r="A17" s="11" t="s">
        <v>105</v>
      </c>
      <c r="B17" s="11"/>
      <c r="C17" s="11" t="s">
        <v>106</v>
      </c>
      <c r="D17" s="56"/>
      <c r="E17" s="22">
        <v>0.12</v>
      </c>
      <c r="F17" s="15" t="s">
        <v>79</v>
      </c>
      <c r="G17" s="15"/>
      <c r="H17" s="11"/>
      <c r="I17" s="11"/>
      <c r="J17" s="11"/>
    </row>
    <row r="18" spans="1:10" ht="15.75">
      <c r="A18" s="11" t="s">
        <v>107</v>
      </c>
      <c r="B18" s="33"/>
      <c r="C18" s="11"/>
      <c r="D18" s="56"/>
      <c r="E18" s="22">
        <v>0.18</v>
      </c>
      <c r="F18" s="15" t="s">
        <v>119</v>
      </c>
      <c r="G18" s="15"/>
      <c r="H18" s="11"/>
      <c r="I18" s="11"/>
      <c r="J18" s="11"/>
    </row>
    <row r="19" spans="1:10" ht="15.75">
      <c r="A19" s="11"/>
      <c r="B19" s="11"/>
      <c r="C19" s="11"/>
      <c r="D19" s="56"/>
      <c r="E19" s="22">
        <v>0.27</v>
      </c>
      <c r="F19" s="15" t="s">
        <v>120</v>
      </c>
      <c r="G19" s="15"/>
      <c r="H19" s="11"/>
      <c r="I19" s="11"/>
      <c r="J19" s="11"/>
    </row>
    <row r="20" spans="1:10" ht="15.75">
      <c r="A20" s="11" t="s">
        <v>126</v>
      </c>
      <c r="B20" s="11"/>
      <c r="C20" s="11" t="s">
        <v>127</v>
      </c>
      <c r="D20" s="56"/>
      <c r="E20" s="22">
        <v>0.48</v>
      </c>
      <c r="F20" s="15" t="s">
        <v>117</v>
      </c>
      <c r="G20" s="15"/>
      <c r="H20" s="11"/>
      <c r="I20" s="11"/>
      <c r="J20" s="11"/>
    </row>
    <row r="21" spans="1:10" ht="15.75">
      <c r="A21" s="11" t="s">
        <v>128</v>
      </c>
      <c r="B21" s="11"/>
      <c r="C21" s="11"/>
      <c r="D21" s="56"/>
      <c r="E21" s="15"/>
      <c r="F21" s="22" t="s">
        <v>96</v>
      </c>
      <c r="G21" s="15"/>
      <c r="H21" s="17"/>
      <c r="I21" s="11"/>
      <c r="J21" s="11"/>
    </row>
    <row r="22" spans="1:10" ht="15.75">
      <c r="A22" s="11" t="s">
        <v>129</v>
      </c>
      <c r="B22" s="11"/>
      <c r="C22" s="11"/>
      <c r="D22" s="56"/>
      <c r="E22" s="22">
        <v>0.26500000000000001</v>
      </c>
      <c r="F22" s="15" t="s">
        <v>121</v>
      </c>
      <c r="G22" s="15"/>
      <c r="H22" s="11"/>
      <c r="I22" s="11"/>
      <c r="J22" s="11"/>
    </row>
    <row r="23" spans="1:10" ht="15.75">
      <c r="A23" s="72" t="s">
        <v>59</v>
      </c>
      <c r="B23" s="72"/>
      <c r="C23" s="72"/>
      <c r="D23" s="56"/>
      <c r="E23" s="22">
        <v>0.3</v>
      </c>
      <c r="F23" s="15" t="s">
        <v>122</v>
      </c>
      <c r="G23" s="15"/>
      <c r="H23" s="11"/>
      <c r="I23" s="11"/>
      <c r="J23" s="11"/>
    </row>
    <row r="24" spans="1:10" ht="15.75">
      <c r="A24" s="61" t="s">
        <v>305</v>
      </c>
      <c r="B24" s="61"/>
      <c r="C24" s="37">
        <v>9.2999999999999999E-2</v>
      </c>
      <c r="D24" s="56"/>
      <c r="E24" s="22">
        <v>0.37</v>
      </c>
      <c r="F24" s="15" t="s">
        <v>123</v>
      </c>
      <c r="G24" s="15"/>
      <c r="H24" s="11"/>
      <c r="I24" s="11"/>
      <c r="J24" s="11"/>
    </row>
    <row r="25" spans="1:10" ht="15.75">
      <c r="A25" s="60" t="s">
        <v>306</v>
      </c>
      <c r="B25" s="60"/>
      <c r="C25" s="26">
        <v>0.11700000000000001</v>
      </c>
      <c r="D25" s="56"/>
      <c r="E25" s="22">
        <v>0.7</v>
      </c>
      <c r="F25" s="15" t="s">
        <v>38</v>
      </c>
      <c r="G25" s="15"/>
      <c r="H25" s="11"/>
      <c r="I25" s="11"/>
      <c r="J25" s="11"/>
    </row>
    <row r="26" spans="1:10" ht="15.75">
      <c r="A26" s="60" t="s">
        <v>302</v>
      </c>
      <c r="B26" s="60"/>
      <c r="C26" s="26">
        <v>0.5</v>
      </c>
      <c r="D26" s="56"/>
      <c r="E26" s="22">
        <v>0.8</v>
      </c>
      <c r="F26" s="15" t="s">
        <v>124</v>
      </c>
      <c r="G26" s="15"/>
      <c r="H26" s="11"/>
      <c r="I26" s="11"/>
      <c r="J26" s="11"/>
    </row>
    <row r="27" spans="1:10" ht="15.75">
      <c r="A27" s="60" t="s">
        <v>15</v>
      </c>
      <c r="B27" s="62"/>
      <c r="C27" s="26" t="s">
        <v>130</v>
      </c>
      <c r="D27" s="56"/>
      <c r="E27" s="22">
        <v>0.9</v>
      </c>
      <c r="F27" s="15" t="s">
        <v>125</v>
      </c>
      <c r="G27" s="15"/>
      <c r="H27" s="11"/>
      <c r="I27" s="11"/>
      <c r="J27" s="11"/>
    </row>
    <row r="28" spans="1:10" ht="15.75">
      <c r="A28" s="60" t="s">
        <v>62</v>
      </c>
      <c r="B28" s="60"/>
      <c r="C28" s="26">
        <v>0.3</v>
      </c>
      <c r="D28" s="56"/>
      <c r="E28" s="22">
        <v>1</v>
      </c>
      <c r="F28" s="15" t="s">
        <v>124</v>
      </c>
      <c r="G28" s="15"/>
      <c r="H28" s="11"/>
      <c r="I28" s="11"/>
      <c r="J28" s="11"/>
    </row>
    <row r="29" spans="1:10" ht="15.75">
      <c r="A29" s="60" t="s">
        <v>304</v>
      </c>
      <c r="B29" s="60"/>
      <c r="C29" s="26" t="s">
        <v>131</v>
      </c>
      <c r="D29" s="56"/>
      <c r="E29" s="22">
        <v>1.3</v>
      </c>
      <c r="F29" s="15" t="s">
        <v>117</v>
      </c>
      <c r="G29" s="15"/>
      <c r="H29" s="11"/>
      <c r="I29" s="11"/>
      <c r="J29" s="11"/>
    </row>
    <row r="30" spans="1:10" ht="15.75">
      <c r="A30" s="60" t="s">
        <v>307</v>
      </c>
      <c r="B30" s="60"/>
      <c r="C30" s="39">
        <v>2.5000000000000001E-2</v>
      </c>
      <c r="D30" s="56"/>
      <c r="E30" s="22"/>
      <c r="F30" s="15"/>
      <c r="G30" s="15"/>
      <c r="H30" s="11"/>
      <c r="I30" s="11"/>
      <c r="J30" s="11"/>
    </row>
    <row r="31" spans="1:10" ht="15.75">
      <c r="A31" s="60" t="s">
        <v>18</v>
      </c>
      <c r="B31" s="60"/>
      <c r="C31" s="28">
        <v>0.60399999999999998</v>
      </c>
      <c r="D31" s="56"/>
      <c r="E31" s="22"/>
      <c r="F31" s="15"/>
      <c r="G31" s="15"/>
      <c r="H31" s="11"/>
      <c r="I31" s="11"/>
      <c r="J31" s="11"/>
    </row>
    <row r="32" spans="1:10" ht="15.75">
      <c r="A32" s="60"/>
      <c r="B32" s="60"/>
      <c r="C32" s="28"/>
      <c r="D32" s="56"/>
      <c r="E32" s="22"/>
      <c r="F32" s="15"/>
      <c r="G32" s="15"/>
      <c r="H32" s="11"/>
      <c r="I32" s="11"/>
      <c r="J32" s="11"/>
    </row>
    <row r="33" spans="5:5">
      <c r="E33" s="10"/>
    </row>
    <row r="34" spans="5:5">
      <c r="E34" s="10"/>
    </row>
    <row r="35" spans="5:5">
      <c r="E35" s="10"/>
    </row>
    <row r="36" spans="5:5">
      <c r="E36" s="10"/>
    </row>
    <row r="37" spans="5:5">
      <c r="E37" s="10"/>
    </row>
    <row r="38" spans="5:5">
      <c r="E38" s="10"/>
    </row>
    <row r="39" spans="5:5">
      <c r="E39" s="10"/>
    </row>
    <row r="40" spans="5:5">
      <c r="E40" s="10"/>
    </row>
    <row r="41" spans="5:5">
      <c r="E41" s="10"/>
    </row>
    <row r="42" spans="5:5">
      <c r="E42" s="10"/>
    </row>
    <row r="43" spans="5:5">
      <c r="E43" s="10"/>
    </row>
    <row r="44" spans="5:5">
      <c r="E44" s="10"/>
    </row>
    <row r="45" spans="5:5">
      <c r="E45" s="10"/>
    </row>
    <row r="46" spans="5:5">
      <c r="E46" s="10"/>
    </row>
    <row r="47" spans="5:5">
      <c r="E47" s="10"/>
    </row>
    <row r="48" spans="5:5">
      <c r="E48" s="10"/>
    </row>
    <row r="49" spans="5:5">
      <c r="E49" s="10"/>
    </row>
    <row r="50" spans="5:5">
      <c r="E50" s="10"/>
    </row>
    <row r="51" spans="5:5">
      <c r="E51" s="10"/>
    </row>
    <row r="52" spans="5:5">
      <c r="E52" s="10"/>
    </row>
    <row r="53" spans="5:5">
      <c r="E53" s="10"/>
    </row>
    <row r="54" spans="5:5">
      <c r="E54" s="10"/>
    </row>
  </sheetData>
  <mergeCells count="16">
    <mergeCell ref="A2:C2"/>
    <mergeCell ref="E2:J2"/>
    <mergeCell ref="A3:J3"/>
    <mergeCell ref="A1:J1"/>
    <mergeCell ref="A28:B28"/>
    <mergeCell ref="A32:B32"/>
    <mergeCell ref="A24:B24"/>
    <mergeCell ref="D4:D32"/>
    <mergeCell ref="A26:B26"/>
    <mergeCell ref="A27:B27"/>
    <mergeCell ref="A29:B29"/>
    <mergeCell ref="A31:B31"/>
    <mergeCell ref="A30:B30"/>
    <mergeCell ref="A4:C4"/>
    <mergeCell ref="A23:C23"/>
    <mergeCell ref="A25:B25"/>
  </mergeCells>
  <pageMargins left="0.7" right="0.7" top="0.75" bottom="0.75" header="0.3" footer="0.3"/>
  <pageSetup paperSize="9" scale="76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</sheetPr>
  <dimension ref="A1:K36"/>
  <sheetViews>
    <sheetView view="pageBreakPreview" zoomScaleNormal="100" zoomScaleSheetLayoutView="100" workbookViewId="0">
      <selection activeCell="O12" sqref="O12"/>
    </sheetView>
  </sheetViews>
  <sheetFormatPr defaultRowHeight="14.25"/>
  <cols>
    <col min="1" max="2" width="9.140625" style="2"/>
    <col min="3" max="3" width="11.7109375" style="2" customWidth="1"/>
    <col min="4" max="4" width="10.42578125" style="2" customWidth="1"/>
    <col min="5" max="9" width="9.140625" style="2"/>
    <col min="10" max="10" width="9.140625" style="2" customWidth="1"/>
    <col min="11" max="11" width="14" style="2" customWidth="1"/>
    <col min="12" max="12" width="9.140625" style="2" customWidth="1"/>
    <col min="13" max="16384" width="9.140625" style="2"/>
  </cols>
  <sheetData>
    <row r="1" spans="1:11" ht="15.75">
      <c r="A1" s="58" t="s">
        <v>133</v>
      </c>
      <c r="B1" s="58"/>
      <c r="C1" s="58"/>
      <c r="D1" s="58"/>
      <c r="E1" s="58"/>
      <c r="F1" s="58"/>
      <c r="G1" s="58"/>
      <c r="H1" s="58"/>
      <c r="I1" s="58"/>
      <c r="J1" s="58"/>
      <c r="K1" s="58"/>
    </row>
    <row r="2" spans="1:11" ht="15.75">
      <c r="A2" s="54" t="s">
        <v>1</v>
      </c>
      <c r="B2" s="54"/>
      <c r="C2" s="54"/>
      <c r="D2" s="12"/>
      <c r="E2" s="55" t="s">
        <v>2</v>
      </c>
      <c r="F2" s="55"/>
      <c r="G2" s="55"/>
      <c r="H2" s="55"/>
      <c r="I2" s="55"/>
      <c r="J2" s="55"/>
      <c r="K2" s="55"/>
    </row>
    <row r="3" spans="1:11" ht="15.75">
      <c r="A3" s="67" t="s">
        <v>134</v>
      </c>
      <c r="B3" s="68"/>
      <c r="C3" s="68"/>
      <c r="D3" s="68"/>
      <c r="E3" s="68"/>
      <c r="F3" s="68"/>
      <c r="G3" s="68"/>
      <c r="H3" s="68"/>
      <c r="I3" s="68"/>
      <c r="J3" s="68"/>
      <c r="K3" s="69"/>
    </row>
    <row r="4" spans="1:11" ht="15.75">
      <c r="A4" s="11" t="s">
        <v>129</v>
      </c>
      <c r="B4" s="11"/>
      <c r="C4" s="11"/>
      <c r="D4" s="56" t="s">
        <v>291</v>
      </c>
      <c r="E4" s="22">
        <v>0.26500000000000001</v>
      </c>
      <c r="F4" s="15" t="s">
        <v>121</v>
      </c>
      <c r="G4" s="15"/>
      <c r="H4" s="15"/>
      <c r="I4" s="15"/>
      <c r="J4" s="15"/>
      <c r="K4" s="15"/>
    </row>
    <row r="5" spans="1:11" ht="15.75">
      <c r="A5" s="64" t="s">
        <v>59</v>
      </c>
      <c r="B5" s="64"/>
      <c r="C5" s="64"/>
      <c r="D5" s="56"/>
      <c r="E5" s="22">
        <v>0.3</v>
      </c>
      <c r="F5" s="15" t="s">
        <v>122</v>
      </c>
      <c r="G5" s="15"/>
      <c r="H5" s="15"/>
      <c r="I5" s="15"/>
      <c r="J5" s="15"/>
      <c r="K5" s="15"/>
    </row>
    <row r="6" spans="1:11" ht="15.75">
      <c r="A6" s="65" t="s">
        <v>305</v>
      </c>
      <c r="B6" s="65"/>
      <c r="C6" s="46">
        <v>9.2999999999999999E-2</v>
      </c>
      <c r="D6" s="56"/>
      <c r="E6" s="22">
        <v>0.37</v>
      </c>
      <c r="F6" s="15" t="s">
        <v>123</v>
      </c>
      <c r="G6" s="15"/>
      <c r="H6" s="15"/>
      <c r="I6" s="15"/>
      <c r="J6" s="15"/>
      <c r="K6" s="15"/>
    </row>
    <row r="7" spans="1:11" ht="15.75">
      <c r="A7" s="63" t="s">
        <v>306</v>
      </c>
      <c r="B7" s="63"/>
      <c r="C7" s="15">
        <v>0.11700000000000001</v>
      </c>
      <c r="D7" s="56"/>
      <c r="E7" s="22">
        <v>0.7</v>
      </c>
      <c r="F7" s="15" t="s">
        <v>38</v>
      </c>
      <c r="G7" s="15"/>
      <c r="H7" s="15"/>
      <c r="I7" s="15"/>
      <c r="J7" s="15"/>
      <c r="K7" s="15"/>
    </row>
    <row r="8" spans="1:11" ht="15.75">
      <c r="A8" s="63" t="s">
        <v>302</v>
      </c>
      <c r="B8" s="63"/>
      <c r="C8" s="15">
        <v>0.5</v>
      </c>
      <c r="D8" s="56"/>
      <c r="E8" s="22">
        <v>0.8</v>
      </c>
      <c r="F8" s="15" t="s">
        <v>124</v>
      </c>
      <c r="G8" s="15"/>
      <c r="H8" s="15"/>
      <c r="I8" s="15"/>
      <c r="J8" s="15"/>
      <c r="K8" s="15"/>
    </row>
    <row r="9" spans="1:11" ht="15.75">
      <c r="A9" s="63" t="s">
        <v>15</v>
      </c>
      <c r="B9" s="66"/>
      <c r="C9" s="15" t="s">
        <v>130</v>
      </c>
      <c r="D9" s="56"/>
      <c r="E9" s="22">
        <v>0.9</v>
      </c>
      <c r="F9" s="15" t="s">
        <v>125</v>
      </c>
      <c r="G9" s="15"/>
      <c r="H9" s="15"/>
      <c r="I9" s="15"/>
      <c r="J9" s="15"/>
      <c r="K9" s="15"/>
    </row>
    <row r="10" spans="1:11" ht="15.75">
      <c r="A10" s="63" t="s">
        <v>62</v>
      </c>
      <c r="B10" s="63"/>
      <c r="C10" s="15">
        <v>0.3</v>
      </c>
      <c r="D10" s="56"/>
      <c r="E10" s="22">
        <v>1</v>
      </c>
      <c r="F10" s="15" t="s">
        <v>124</v>
      </c>
      <c r="G10" s="15"/>
      <c r="H10" s="15"/>
      <c r="I10" s="15"/>
      <c r="J10" s="15"/>
      <c r="K10" s="15"/>
    </row>
    <row r="11" spans="1:11" ht="15.75">
      <c r="A11" s="63" t="s">
        <v>304</v>
      </c>
      <c r="B11" s="63"/>
      <c r="C11" s="15" t="s">
        <v>131</v>
      </c>
      <c r="D11" s="56"/>
      <c r="E11" s="22">
        <v>1.3</v>
      </c>
      <c r="F11" s="15" t="s">
        <v>117</v>
      </c>
      <c r="G11" s="15"/>
      <c r="H11" s="15"/>
      <c r="I11" s="15"/>
      <c r="J11" s="15"/>
      <c r="K11" s="15"/>
    </row>
    <row r="12" spans="1:11" ht="15.75">
      <c r="A12" s="63" t="s">
        <v>307</v>
      </c>
      <c r="B12" s="63"/>
      <c r="C12" s="20">
        <v>2.5000000000000001E-2</v>
      </c>
      <c r="D12" s="56"/>
      <c r="E12" s="22"/>
      <c r="F12" s="15"/>
      <c r="G12" s="15"/>
      <c r="H12" s="15"/>
      <c r="I12" s="15"/>
      <c r="J12" s="15"/>
      <c r="K12" s="15"/>
    </row>
    <row r="13" spans="1:11" ht="15.75">
      <c r="A13" s="63" t="s">
        <v>18</v>
      </c>
      <c r="B13" s="63"/>
      <c r="C13" s="21">
        <v>0.60399999999999998</v>
      </c>
      <c r="D13" s="56"/>
      <c r="E13" s="22"/>
      <c r="F13" s="15"/>
      <c r="G13" s="15"/>
      <c r="H13" s="15"/>
      <c r="I13" s="15"/>
      <c r="J13" s="15"/>
      <c r="K13" s="15"/>
    </row>
    <row r="14" spans="1:11" ht="40.5" customHeight="1">
      <c r="A14" s="60"/>
      <c r="B14" s="60"/>
      <c r="C14" s="28"/>
      <c r="D14" s="56"/>
      <c r="E14" s="22"/>
      <c r="F14" s="15"/>
      <c r="G14" s="15"/>
      <c r="H14" s="15"/>
      <c r="I14" s="15"/>
      <c r="J14" s="15"/>
      <c r="K14" s="15"/>
    </row>
    <row r="15" spans="1:11">
      <c r="A15" s="4"/>
      <c r="B15" s="4"/>
      <c r="C15" s="4"/>
      <c r="D15" s="4"/>
      <c r="E15" s="8"/>
      <c r="F15" s="7"/>
      <c r="G15" s="7"/>
      <c r="H15" s="7"/>
      <c r="I15" s="7"/>
      <c r="J15" s="7"/>
      <c r="K15" s="7"/>
    </row>
    <row r="16" spans="1:11">
      <c r="A16" s="4"/>
      <c r="B16" s="4"/>
      <c r="C16" s="4"/>
      <c r="D16" s="4"/>
      <c r="E16" s="8"/>
      <c r="F16" s="7"/>
      <c r="G16" s="7"/>
      <c r="H16" s="7"/>
      <c r="I16" s="7"/>
      <c r="J16" s="7"/>
      <c r="K16" s="7"/>
    </row>
    <row r="17" spans="1:11">
      <c r="A17" s="4"/>
      <c r="B17" s="4"/>
      <c r="C17" s="4"/>
      <c r="D17" s="4"/>
      <c r="E17" s="8"/>
      <c r="F17" s="7"/>
      <c r="G17" s="7"/>
      <c r="H17" s="7"/>
      <c r="I17" s="7"/>
      <c r="J17" s="7"/>
      <c r="K17" s="7"/>
    </row>
    <row r="18" spans="1:11">
      <c r="E18" s="10"/>
    </row>
    <row r="19" spans="1:11">
      <c r="E19" s="10"/>
    </row>
    <row r="20" spans="1:11">
      <c r="E20" s="10"/>
    </row>
    <row r="21" spans="1:11">
      <c r="E21" s="10"/>
    </row>
    <row r="22" spans="1:11">
      <c r="E22" s="10"/>
    </row>
    <row r="23" spans="1:11">
      <c r="E23" s="10"/>
    </row>
    <row r="24" spans="1:11">
      <c r="E24" s="10"/>
    </row>
    <row r="25" spans="1:11">
      <c r="E25" s="10"/>
    </row>
    <row r="26" spans="1:11">
      <c r="E26" s="10"/>
    </row>
    <row r="27" spans="1:11">
      <c r="E27" s="10"/>
    </row>
    <row r="28" spans="1:11">
      <c r="E28" s="10"/>
    </row>
    <row r="29" spans="1:11">
      <c r="E29" s="10"/>
    </row>
    <row r="30" spans="1:11">
      <c r="E30" s="10"/>
    </row>
    <row r="31" spans="1:11">
      <c r="E31" s="10"/>
    </row>
    <row r="32" spans="1:11">
      <c r="E32" s="10"/>
    </row>
    <row r="33" spans="5:5">
      <c r="E33" s="10"/>
    </row>
    <row r="34" spans="5:5">
      <c r="E34" s="10"/>
    </row>
    <row r="35" spans="5:5">
      <c r="E35" s="10"/>
    </row>
    <row r="36" spans="5:5">
      <c r="E36" s="10"/>
    </row>
  </sheetData>
  <mergeCells count="15">
    <mergeCell ref="A1:K1"/>
    <mergeCell ref="A11:B11"/>
    <mergeCell ref="A12:B12"/>
    <mergeCell ref="A13:B13"/>
    <mergeCell ref="A14:B14"/>
    <mergeCell ref="D4:D14"/>
    <mergeCell ref="A5:C5"/>
    <mergeCell ref="A6:B6"/>
    <mergeCell ref="A7:B7"/>
    <mergeCell ref="A8:B8"/>
    <mergeCell ref="A9:B9"/>
    <mergeCell ref="A10:B10"/>
    <mergeCell ref="A2:C2"/>
    <mergeCell ref="E2:K2"/>
    <mergeCell ref="A3:K3"/>
  </mergeCells>
  <pageMargins left="0.7" right="0.7" top="0.75" bottom="0.75" header="0.3" footer="0.3"/>
  <pageSetup paperSize="9" scale="78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00B050"/>
  </sheetPr>
  <dimension ref="A1:O55"/>
  <sheetViews>
    <sheetView view="pageBreakPreview" zoomScaleNormal="100" zoomScaleSheetLayoutView="100" workbookViewId="0">
      <selection activeCell="N28" sqref="N28"/>
    </sheetView>
  </sheetViews>
  <sheetFormatPr defaultRowHeight="15.75"/>
  <cols>
    <col min="1" max="1" width="29.7109375" style="11" bestFit="1" customWidth="1"/>
    <col min="2" max="2" width="10.42578125" style="11" customWidth="1"/>
    <col min="3" max="3" width="11.140625" style="11" bestFit="1" customWidth="1"/>
    <col min="4" max="10" width="9.140625" style="11"/>
    <col min="11" max="11" width="23.28515625" style="11" customWidth="1"/>
    <col min="12" max="16384" width="9.140625" style="11"/>
  </cols>
  <sheetData>
    <row r="1" spans="1:15">
      <c r="A1" s="58" t="s">
        <v>292</v>
      </c>
      <c r="B1" s="58"/>
      <c r="C1" s="58"/>
      <c r="D1" s="58"/>
      <c r="E1" s="58"/>
      <c r="F1" s="58"/>
      <c r="G1" s="58"/>
      <c r="H1" s="58"/>
      <c r="I1" s="58"/>
      <c r="J1" s="58"/>
      <c r="K1" s="58"/>
    </row>
    <row r="2" spans="1:15">
      <c r="A2" s="54" t="s">
        <v>1</v>
      </c>
      <c r="B2" s="54"/>
      <c r="C2" s="54"/>
      <c r="D2" s="12"/>
      <c r="E2" s="55" t="s">
        <v>2</v>
      </c>
      <c r="F2" s="55"/>
      <c r="G2" s="55"/>
      <c r="H2" s="55"/>
      <c r="I2" s="55"/>
      <c r="J2" s="55"/>
      <c r="K2" s="55"/>
    </row>
    <row r="3" spans="1:15">
      <c r="A3" s="51" t="s">
        <v>135</v>
      </c>
      <c r="B3" s="51"/>
      <c r="C3" s="51"/>
      <c r="D3" s="51"/>
      <c r="E3" s="51"/>
      <c r="F3" s="51"/>
      <c r="G3" s="51"/>
      <c r="H3" s="51"/>
      <c r="I3" s="51"/>
      <c r="J3" s="51"/>
      <c r="K3" s="51"/>
    </row>
    <row r="4" spans="1:15" ht="15" customHeight="1">
      <c r="A4" s="11" t="s">
        <v>136</v>
      </c>
      <c r="C4" s="11" t="s">
        <v>137</v>
      </c>
      <c r="D4" s="56" t="s">
        <v>162</v>
      </c>
      <c r="E4" s="22">
        <v>0.03</v>
      </c>
      <c r="F4" s="15" t="s">
        <v>17</v>
      </c>
      <c r="G4" s="15"/>
      <c r="H4" s="15"/>
    </row>
    <row r="5" spans="1:15">
      <c r="A5" s="11" t="s">
        <v>138</v>
      </c>
      <c r="D5" s="56"/>
      <c r="E5" s="22">
        <v>0.12</v>
      </c>
      <c r="F5" s="15" t="s">
        <v>140</v>
      </c>
      <c r="G5" s="15"/>
      <c r="H5" s="15"/>
    </row>
    <row r="6" spans="1:15">
      <c r="A6" s="59" t="s">
        <v>139</v>
      </c>
      <c r="B6" s="59"/>
      <c r="C6" s="59"/>
      <c r="D6" s="56"/>
      <c r="E6" s="22">
        <v>0.18</v>
      </c>
      <c r="F6" s="15" t="s">
        <v>79</v>
      </c>
      <c r="G6" s="15"/>
      <c r="H6" s="15"/>
      <c r="N6" s="65"/>
      <c r="O6" s="65"/>
    </row>
    <row r="7" spans="1:15">
      <c r="A7" s="61" t="s">
        <v>142</v>
      </c>
      <c r="B7" s="61"/>
      <c r="C7" s="37"/>
      <c r="D7" s="56"/>
      <c r="E7" s="22">
        <v>0.24</v>
      </c>
      <c r="F7" s="15" t="s">
        <v>79</v>
      </c>
      <c r="G7" s="15"/>
      <c r="H7" s="15"/>
      <c r="N7" s="63"/>
      <c r="O7" s="63"/>
    </row>
    <row r="8" spans="1:15">
      <c r="A8" s="61" t="s">
        <v>305</v>
      </c>
      <c r="B8" s="61"/>
      <c r="C8" s="42">
        <v>0.68100000000000005</v>
      </c>
      <c r="D8" s="56"/>
      <c r="E8" s="22">
        <v>0.51</v>
      </c>
      <c r="F8" s="15" t="s">
        <v>79</v>
      </c>
      <c r="G8" s="15"/>
      <c r="H8" s="15"/>
      <c r="N8" s="63"/>
      <c r="O8" s="63"/>
    </row>
    <row r="9" spans="1:15">
      <c r="A9" s="60" t="s">
        <v>306</v>
      </c>
      <c r="B9" s="60"/>
      <c r="C9" s="42">
        <v>0.68400000000000005</v>
      </c>
      <c r="D9" s="56"/>
      <c r="E9" s="22">
        <v>0.56999999999999995</v>
      </c>
      <c r="F9" s="15" t="s">
        <v>79</v>
      </c>
      <c r="G9" s="15"/>
      <c r="H9" s="15"/>
      <c r="N9" s="63"/>
      <c r="O9" s="66"/>
    </row>
    <row r="10" spans="1:15">
      <c r="A10" s="60" t="s">
        <v>302</v>
      </c>
      <c r="B10" s="60"/>
      <c r="C10" s="42">
        <v>2</v>
      </c>
      <c r="D10" s="56"/>
      <c r="E10" s="22">
        <v>0.63</v>
      </c>
      <c r="F10" s="15" t="s">
        <v>79</v>
      </c>
      <c r="G10" s="15"/>
      <c r="H10" s="15"/>
      <c r="N10" s="63"/>
      <c r="O10" s="63"/>
    </row>
    <row r="11" spans="1:15">
      <c r="A11" s="60" t="s">
        <v>62</v>
      </c>
      <c r="B11" s="60"/>
      <c r="C11" s="42">
        <v>0.6</v>
      </c>
      <c r="D11" s="56"/>
      <c r="E11" s="22">
        <v>0.65</v>
      </c>
      <c r="F11" s="15" t="s">
        <v>79</v>
      </c>
      <c r="G11" s="15"/>
      <c r="H11" s="15"/>
      <c r="N11" s="63"/>
      <c r="O11" s="63"/>
    </row>
    <row r="12" spans="1:15">
      <c r="A12" s="60" t="s">
        <v>18</v>
      </c>
      <c r="B12" s="60"/>
      <c r="C12" s="42">
        <v>0.496</v>
      </c>
      <c r="D12" s="56"/>
      <c r="E12" s="22">
        <v>0.78</v>
      </c>
      <c r="F12" s="15" t="s">
        <v>79</v>
      </c>
      <c r="G12" s="15"/>
      <c r="H12" s="15"/>
      <c r="N12" s="63"/>
      <c r="O12" s="63"/>
    </row>
    <row r="13" spans="1:15">
      <c r="A13" s="60" t="s">
        <v>15</v>
      </c>
      <c r="B13" s="62"/>
      <c r="C13" s="39" t="s">
        <v>143</v>
      </c>
      <c r="D13" s="56"/>
      <c r="E13" s="22">
        <v>0.81</v>
      </c>
      <c r="F13" s="15" t="s">
        <v>141</v>
      </c>
      <c r="G13" s="15"/>
      <c r="H13" s="15"/>
      <c r="N13" s="63"/>
      <c r="O13" s="63"/>
    </row>
    <row r="14" spans="1:15">
      <c r="C14" s="28"/>
      <c r="D14" s="56"/>
      <c r="E14" s="22">
        <v>0.84</v>
      </c>
      <c r="F14" s="15" t="s">
        <v>79</v>
      </c>
      <c r="G14" s="15"/>
      <c r="H14" s="15"/>
    </row>
    <row r="15" spans="1:15">
      <c r="A15" s="59" t="s">
        <v>139</v>
      </c>
      <c r="B15" s="59"/>
      <c r="C15" s="59"/>
      <c r="D15" s="56"/>
      <c r="E15" s="22">
        <v>0.88500000000000001</v>
      </c>
      <c r="F15" s="15" t="s">
        <v>79</v>
      </c>
      <c r="G15" s="15"/>
      <c r="H15" s="15"/>
    </row>
    <row r="16" spans="1:15">
      <c r="A16" s="61" t="s">
        <v>144</v>
      </c>
      <c r="B16" s="61"/>
      <c r="C16" s="37"/>
      <c r="D16" s="56"/>
      <c r="E16" s="22">
        <v>0.91500000000000004</v>
      </c>
      <c r="F16" s="15" t="s">
        <v>79</v>
      </c>
      <c r="G16" s="15"/>
      <c r="H16" s="15"/>
    </row>
    <row r="17" spans="1:8">
      <c r="A17" s="61" t="s">
        <v>305</v>
      </c>
      <c r="B17" s="61"/>
      <c r="C17" s="26">
        <v>0.39700000000000002</v>
      </c>
      <c r="D17" s="56"/>
      <c r="E17" s="22">
        <v>0.94499999999999995</v>
      </c>
      <c r="F17" s="15" t="s">
        <v>79</v>
      </c>
      <c r="G17" s="15"/>
      <c r="H17" s="15"/>
    </row>
    <row r="18" spans="1:8">
      <c r="A18" s="60" t="s">
        <v>306</v>
      </c>
      <c r="B18" s="60"/>
      <c r="C18" s="26">
        <v>0.436</v>
      </c>
      <c r="D18" s="56"/>
      <c r="E18" s="22">
        <v>1.02</v>
      </c>
      <c r="F18" s="15" t="s">
        <v>79</v>
      </c>
      <c r="G18" s="15"/>
      <c r="H18" s="15"/>
    </row>
    <row r="19" spans="1:8">
      <c r="A19" s="60" t="s">
        <v>302</v>
      </c>
      <c r="B19" s="60"/>
      <c r="C19" s="26">
        <v>1.5</v>
      </c>
      <c r="D19" s="56"/>
      <c r="E19" s="22">
        <v>1.5</v>
      </c>
      <c r="F19" s="15" t="s">
        <v>79</v>
      </c>
      <c r="G19" s="15"/>
      <c r="H19" s="15"/>
    </row>
    <row r="20" spans="1:8">
      <c r="A20" s="60" t="s">
        <v>62</v>
      </c>
      <c r="B20" s="60"/>
      <c r="C20" s="26">
        <v>0.5</v>
      </c>
      <c r="D20" s="56"/>
      <c r="E20" s="22">
        <v>1.635</v>
      </c>
      <c r="F20" s="15" t="s">
        <v>79</v>
      </c>
      <c r="G20" s="15"/>
      <c r="H20" s="15"/>
    </row>
    <row r="21" spans="1:8">
      <c r="A21" s="60" t="s">
        <v>18</v>
      </c>
      <c r="B21" s="60"/>
      <c r="C21" s="26">
        <v>0.436</v>
      </c>
      <c r="D21" s="56"/>
      <c r="E21" s="22">
        <v>1.71</v>
      </c>
      <c r="F21" s="15" t="s">
        <v>79</v>
      </c>
      <c r="G21" s="15"/>
      <c r="H21" s="15"/>
    </row>
    <row r="22" spans="1:8">
      <c r="A22" s="60" t="s">
        <v>15</v>
      </c>
      <c r="B22" s="62"/>
      <c r="C22" s="39" t="s">
        <v>16</v>
      </c>
      <c r="D22" s="56"/>
      <c r="E22" s="22">
        <v>1.83</v>
      </c>
      <c r="F22" s="15" t="s">
        <v>150</v>
      </c>
      <c r="G22" s="15"/>
      <c r="H22" s="15"/>
    </row>
    <row r="23" spans="1:8">
      <c r="D23" s="56"/>
      <c r="E23" s="22">
        <v>1.92</v>
      </c>
      <c r="F23" s="15" t="s">
        <v>17</v>
      </c>
      <c r="G23" s="15"/>
      <c r="H23" s="15"/>
    </row>
    <row r="24" spans="1:8">
      <c r="A24" s="59" t="s">
        <v>139</v>
      </c>
      <c r="B24" s="59"/>
      <c r="C24" s="59"/>
      <c r="D24" s="56"/>
      <c r="E24" s="22">
        <v>2.1539999999999999</v>
      </c>
      <c r="F24" s="15" t="s">
        <v>141</v>
      </c>
      <c r="G24" s="15"/>
      <c r="H24" s="15"/>
    </row>
    <row r="25" spans="1:8">
      <c r="A25" s="61" t="s">
        <v>145</v>
      </c>
      <c r="B25" s="61"/>
      <c r="C25" s="37"/>
      <c r="D25" s="56"/>
      <c r="E25" s="22">
        <v>2.34</v>
      </c>
      <c r="F25" s="15" t="s">
        <v>79</v>
      </c>
      <c r="G25" s="15"/>
      <c r="H25" s="15"/>
    </row>
    <row r="26" spans="1:8">
      <c r="A26" s="61" t="s">
        <v>305</v>
      </c>
      <c r="B26" s="61"/>
      <c r="C26" s="26">
        <v>0.13900000000000001</v>
      </c>
      <c r="D26" s="56"/>
      <c r="E26" s="22">
        <v>2.99</v>
      </c>
      <c r="F26" s="15" t="s">
        <v>141</v>
      </c>
      <c r="G26" s="15"/>
      <c r="H26" s="15"/>
    </row>
    <row r="27" spans="1:8">
      <c r="A27" s="60" t="s">
        <v>306</v>
      </c>
      <c r="B27" s="60"/>
      <c r="C27" s="26">
        <v>0.159</v>
      </c>
      <c r="D27" s="56"/>
      <c r="E27" s="22">
        <v>3.18</v>
      </c>
      <c r="F27" s="15" t="s">
        <v>79</v>
      </c>
      <c r="G27" s="15"/>
      <c r="H27" s="15"/>
    </row>
    <row r="28" spans="1:8">
      <c r="A28" s="60" t="s">
        <v>302</v>
      </c>
      <c r="B28" s="60"/>
      <c r="C28" s="26">
        <v>1</v>
      </c>
      <c r="D28" s="56"/>
      <c r="E28" s="22">
        <v>3.33</v>
      </c>
      <c r="F28" s="15" t="s">
        <v>79</v>
      </c>
      <c r="G28" s="15"/>
      <c r="H28" s="15"/>
    </row>
    <row r="29" spans="1:8">
      <c r="A29" s="60" t="s">
        <v>62</v>
      </c>
      <c r="B29" s="60"/>
      <c r="C29" s="26">
        <v>0.4</v>
      </c>
      <c r="D29" s="56"/>
      <c r="E29" s="22">
        <v>3.42</v>
      </c>
      <c r="F29" s="15" t="s">
        <v>79</v>
      </c>
      <c r="G29" s="15"/>
      <c r="H29" s="15"/>
    </row>
    <row r="30" spans="1:8">
      <c r="A30" s="60" t="s">
        <v>18</v>
      </c>
      <c r="B30" s="60"/>
      <c r="C30" s="26">
        <v>0.33100000000000002</v>
      </c>
      <c r="D30" s="56"/>
      <c r="E30" s="22">
        <v>3.51</v>
      </c>
      <c r="F30" s="15" t="s">
        <v>79</v>
      </c>
      <c r="G30" s="15"/>
      <c r="H30" s="15"/>
    </row>
    <row r="31" spans="1:8">
      <c r="A31" s="60" t="s">
        <v>15</v>
      </c>
      <c r="B31" s="62"/>
      <c r="C31" s="39" t="s">
        <v>146</v>
      </c>
      <c r="D31" s="56"/>
      <c r="E31" s="22">
        <v>4.1500000000000004</v>
      </c>
      <c r="F31" s="15" t="s">
        <v>141</v>
      </c>
      <c r="G31" s="15"/>
      <c r="H31" s="15"/>
    </row>
    <row r="32" spans="1:8">
      <c r="A32" s="11" t="s">
        <v>147</v>
      </c>
      <c r="C32" s="11" t="s">
        <v>148</v>
      </c>
      <c r="D32" s="56"/>
      <c r="E32" s="22">
        <v>4.46</v>
      </c>
      <c r="F32" s="15" t="s">
        <v>141</v>
      </c>
      <c r="G32" s="15"/>
      <c r="H32" s="15"/>
    </row>
    <row r="33" spans="1:8">
      <c r="A33" s="11" t="s">
        <v>149</v>
      </c>
      <c r="D33" s="56"/>
      <c r="E33" s="22">
        <v>4.72</v>
      </c>
      <c r="F33" s="15" t="s">
        <v>141</v>
      </c>
      <c r="G33" s="15"/>
      <c r="H33" s="15"/>
    </row>
    <row r="34" spans="1:8">
      <c r="D34" s="56"/>
      <c r="E34" s="22">
        <v>5.07</v>
      </c>
      <c r="F34" s="15" t="s">
        <v>141</v>
      </c>
      <c r="G34" s="15"/>
      <c r="H34" s="15"/>
    </row>
    <row r="35" spans="1:8">
      <c r="D35" s="56"/>
      <c r="E35" s="22">
        <v>5.64</v>
      </c>
      <c r="F35" s="15" t="s">
        <v>79</v>
      </c>
      <c r="G35" s="15"/>
      <c r="H35" s="15"/>
    </row>
    <row r="36" spans="1:8">
      <c r="D36" s="56"/>
      <c r="E36" s="22">
        <v>5.6849999999999996</v>
      </c>
      <c r="F36" s="15" t="s">
        <v>151</v>
      </c>
      <c r="G36" s="15"/>
      <c r="H36" s="15"/>
    </row>
    <row r="37" spans="1:8">
      <c r="A37" s="11" t="s">
        <v>155</v>
      </c>
      <c r="C37" s="11" t="s">
        <v>156</v>
      </c>
      <c r="D37" s="56"/>
      <c r="E37" s="22">
        <v>5.73</v>
      </c>
      <c r="F37" s="15" t="s">
        <v>152</v>
      </c>
      <c r="G37" s="15"/>
      <c r="H37" s="15"/>
    </row>
    <row r="38" spans="1:8">
      <c r="A38" s="11" t="s">
        <v>157</v>
      </c>
      <c r="D38" s="56"/>
      <c r="E38" s="22">
        <v>5.79</v>
      </c>
      <c r="F38" s="15" t="s">
        <v>79</v>
      </c>
      <c r="G38" s="15"/>
      <c r="H38" s="15"/>
    </row>
    <row r="39" spans="1:8">
      <c r="A39" s="11" t="s">
        <v>158</v>
      </c>
      <c r="D39" s="56"/>
      <c r="E39" s="22">
        <v>5.835</v>
      </c>
      <c r="F39" s="15" t="s">
        <v>79</v>
      </c>
      <c r="G39" s="15"/>
      <c r="H39" s="15"/>
    </row>
    <row r="40" spans="1:8">
      <c r="D40" s="56"/>
      <c r="E40" s="22">
        <v>5.88</v>
      </c>
      <c r="F40" s="15" t="s">
        <v>79</v>
      </c>
      <c r="G40" s="15"/>
      <c r="H40" s="15"/>
    </row>
    <row r="41" spans="1:8">
      <c r="D41" s="56"/>
      <c r="E41" s="22">
        <v>5.94</v>
      </c>
      <c r="F41" s="15" t="s">
        <v>79</v>
      </c>
      <c r="G41" s="15"/>
      <c r="H41" s="15"/>
    </row>
    <row r="42" spans="1:8">
      <c r="D42" s="56"/>
      <c r="E42" s="22">
        <v>6</v>
      </c>
      <c r="F42" s="15" t="s">
        <v>79</v>
      </c>
      <c r="G42" s="15"/>
      <c r="H42" s="15"/>
    </row>
    <row r="43" spans="1:8">
      <c r="D43" s="56"/>
      <c r="E43" s="22">
        <v>6.0750000000000002</v>
      </c>
      <c r="F43" s="15" t="s">
        <v>79</v>
      </c>
      <c r="G43" s="15"/>
      <c r="H43" s="15"/>
    </row>
    <row r="44" spans="1:8">
      <c r="D44" s="56"/>
      <c r="E44" s="22">
        <v>6.12</v>
      </c>
      <c r="F44" s="15" t="s">
        <v>79</v>
      </c>
      <c r="G44" s="15"/>
      <c r="H44" s="15"/>
    </row>
    <row r="45" spans="1:8">
      <c r="D45" s="56"/>
      <c r="E45" s="22">
        <v>6.18</v>
      </c>
      <c r="F45" s="15" t="s">
        <v>79</v>
      </c>
      <c r="G45" s="15"/>
      <c r="H45" s="15"/>
    </row>
    <row r="46" spans="1:8">
      <c r="D46" s="56"/>
      <c r="E46" s="22">
        <v>6.45</v>
      </c>
      <c r="F46" s="15" t="s">
        <v>79</v>
      </c>
      <c r="G46" s="15"/>
      <c r="H46" s="15"/>
    </row>
    <row r="47" spans="1:8">
      <c r="D47" s="56"/>
      <c r="E47" s="22">
        <v>6.52</v>
      </c>
      <c r="F47" s="15" t="s">
        <v>79</v>
      </c>
      <c r="G47" s="15"/>
      <c r="H47" s="15"/>
    </row>
    <row r="48" spans="1:8">
      <c r="D48" s="56"/>
      <c r="E48" s="22">
        <v>6.6</v>
      </c>
      <c r="F48" s="15" t="s">
        <v>141</v>
      </c>
      <c r="G48" s="15"/>
      <c r="H48" s="15"/>
    </row>
    <row r="49" spans="1:8">
      <c r="D49" s="56"/>
      <c r="E49" s="22">
        <v>6.9</v>
      </c>
      <c r="F49" s="15" t="s">
        <v>141</v>
      </c>
      <c r="G49" s="15"/>
      <c r="H49" s="15"/>
    </row>
    <row r="50" spans="1:8">
      <c r="D50" s="56"/>
      <c r="E50" s="22">
        <v>7</v>
      </c>
      <c r="F50" s="15" t="s">
        <v>79</v>
      </c>
      <c r="G50" s="15"/>
      <c r="H50" s="15"/>
    </row>
    <row r="51" spans="1:8">
      <c r="D51" s="56"/>
      <c r="E51" s="22">
        <v>7.18</v>
      </c>
      <c r="F51" s="15" t="s">
        <v>79</v>
      </c>
      <c r="G51" s="15"/>
      <c r="H51" s="15"/>
    </row>
    <row r="52" spans="1:8">
      <c r="D52" s="56"/>
      <c r="E52" s="22">
        <v>7.29</v>
      </c>
      <c r="F52" s="15" t="s">
        <v>79</v>
      </c>
      <c r="G52" s="15"/>
      <c r="H52" s="15"/>
    </row>
    <row r="53" spans="1:8">
      <c r="A53" s="11" t="s">
        <v>159</v>
      </c>
      <c r="C53" s="11" t="s">
        <v>160</v>
      </c>
      <c r="D53" s="56"/>
      <c r="E53" s="22">
        <v>7.53</v>
      </c>
      <c r="F53" s="15" t="s">
        <v>153</v>
      </c>
      <c r="G53" s="15"/>
      <c r="H53" s="15"/>
    </row>
    <row r="54" spans="1:8">
      <c r="A54" s="11" t="s">
        <v>161</v>
      </c>
      <c r="D54" s="56"/>
      <c r="E54" s="22">
        <v>7.62</v>
      </c>
      <c r="F54" s="15" t="s">
        <v>79</v>
      </c>
      <c r="G54" s="15"/>
      <c r="H54" s="15"/>
    </row>
    <row r="55" spans="1:8">
      <c r="A55" s="11" t="s">
        <v>293</v>
      </c>
      <c r="D55" s="56"/>
      <c r="E55" s="22">
        <v>8.0399999999999991</v>
      </c>
      <c r="F55" s="15" t="s">
        <v>154</v>
      </c>
      <c r="G55" s="15"/>
      <c r="H55" s="15"/>
    </row>
  </sheetData>
  <mergeCells count="37">
    <mergeCell ref="N11:O11"/>
    <mergeCell ref="N12:O12"/>
    <mergeCell ref="N13:O13"/>
    <mergeCell ref="N6:O6"/>
    <mergeCell ref="N7:O7"/>
    <mergeCell ref="N8:O8"/>
    <mergeCell ref="N9:O9"/>
    <mergeCell ref="N10:O10"/>
    <mergeCell ref="A16:B16"/>
    <mergeCell ref="A25:B25"/>
    <mergeCell ref="A20:B20"/>
    <mergeCell ref="A21:B21"/>
    <mergeCell ref="A18:B18"/>
    <mergeCell ref="A17:B17"/>
    <mergeCell ref="A6:C6"/>
    <mergeCell ref="A7:B7"/>
    <mergeCell ref="A8:B8"/>
    <mergeCell ref="A2:C2"/>
    <mergeCell ref="A1:K1"/>
    <mergeCell ref="E2:K2"/>
    <mergeCell ref="A3:K3"/>
    <mergeCell ref="A9:B9"/>
    <mergeCell ref="A10:B10"/>
    <mergeCell ref="A13:B13"/>
    <mergeCell ref="A11:B11"/>
    <mergeCell ref="D4:D55"/>
    <mergeCell ref="A26:B26"/>
    <mergeCell ref="A27:B27"/>
    <mergeCell ref="A28:B28"/>
    <mergeCell ref="A29:B29"/>
    <mergeCell ref="A30:B30"/>
    <mergeCell ref="A31:B31"/>
    <mergeCell ref="A12:B12"/>
    <mergeCell ref="A19:B19"/>
    <mergeCell ref="A15:C15"/>
    <mergeCell ref="A22:B22"/>
    <mergeCell ref="A24:C24"/>
  </mergeCells>
  <pageMargins left="0.7" right="0.7" top="0.75" bottom="0.75" header="0.3" footer="0.3"/>
  <pageSetup paperSize="9" scale="60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00B050"/>
  </sheetPr>
  <dimension ref="A1:K21"/>
  <sheetViews>
    <sheetView view="pageBreakPreview" zoomScaleNormal="100" zoomScaleSheetLayoutView="100" workbookViewId="0">
      <selection activeCell="O10" sqref="O10"/>
    </sheetView>
  </sheetViews>
  <sheetFormatPr defaultRowHeight="15"/>
  <cols>
    <col min="1" max="1" width="17" customWidth="1"/>
    <col min="2" max="3" width="15.140625" bestFit="1" customWidth="1"/>
    <col min="10" max="10" width="9.140625" customWidth="1"/>
    <col min="11" max="11" width="12.85546875" customWidth="1"/>
  </cols>
  <sheetData>
    <row r="1" spans="1:11" ht="15.75">
      <c r="A1" s="58" t="s">
        <v>163</v>
      </c>
      <c r="B1" s="58"/>
      <c r="C1" s="58"/>
      <c r="D1" s="58"/>
      <c r="E1" s="58"/>
      <c r="F1" s="58"/>
      <c r="G1" s="58"/>
      <c r="H1" s="58"/>
      <c r="I1" s="58"/>
      <c r="J1" s="47"/>
      <c r="K1" s="47"/>
    </row>
    <row r="2" spans="1:11" ht="15.75">
      <c r="A2" s="51" t="s">
        <v>1</v>
      </c>
      <c r="B2" s="51"/>
      <c r="C2" s="51"/>
      <c r="D2" s="12"/>
      <c r="E2" s="52" t="s">
        <v>2</v>
      </c>
      <c r="F2" s="52"/>
      <c r="G2" s="52"/>
      <c r="H2" s="52"/>
      <c r="I2" s="52"/>
      <c r="J2" s="52"/>
      <c r="K2" s="52"/>
    </row>
    <row r="3" spans="1:11" ht="15.75">
      <c r="A3" s="51" t="s">
        <v>164</v>
      </c>
      <c r="B3" s="51"/>
      <c r="C3" s="51"/>
      <c r="D3" s="51"/>
      <c r="E3" s="51"/>
      <c r="F3" s="51"/>
      <c r="G3" s="51"/>
      <c r="H3" s="51"/>
      <c r="I3" s="51"/>
      <c r="J3" s="51"/>
      <c r="K3" s="51"/>
    </row>
    <row r="4" spans="1:11" ht="15.75">
      <c r="A4" s="11" t="s">
        <v>166</v>
      </c>
      <c r="B4" s="11"/>
      <c r="C4" s="11" t="s">
        <v>127</v>
      </c>
      <c r="D4" s="56" t="s">
        <v>178</v>
      </c>
      <c r="E4" s="22" t="s">
        <v>165</v>
      </c>
      <c r="F4" s="15"/>
      <c r="G4" s="11"/>
      <c r="H4" s="11"/>
      <c r="I4" s="11"/>
      <c r="J4" s="11"/>
      <c r="K4" s="47"/>
    </row>
    <row r="5" spans="1:11" ht="15.75">
      <c r="A5" s="11" t="s">
        <v>167</v>
      </c>
      <c r="B5" s="11"/>
      <c r="C5" s="11"/>
      <c r="D5" s="56"/>
      <c r="E5" s="22">
        <v>0.2</v>
      </c>
      <c r="F5" s="15" t="s">
        <v>173</v>
      </c>
      <c r="G5" s="11"/>
      <c r="H5" s="11"/>
      <c r="I5" s="11"/>
      <c r="J5" s="11"/>
      <c r="K5" s="47"/>
    </row>
    <row r="6" spans="1:11" ht="15.75">
      <c r="A6" s="23" t="s">
        <v>168</v>
      </c>
      <c r="B6" s="23"/>
      <c r="C6" s="23"/>
      <c r="D6" s="56"/>
      <c r="E6" s="22">
        <v>0.3</v>
      </c>
      <c r="F6" s="15" t="s">
        <v>174</v>
      </c>
      <c r="G6" s="11"/>
      <c r="H6" s="11"/>
      <c r="I6" s="11"/>
      <c r="J6" s="11"/>
      <c r="K6" s="47"/>
    </row>
    <row r="7" spans="1:11" ht="15.75">
      <c r="A7" s="61" t="s">
        <v>169</v>
      </c>
      <c r="B7" s="61"/>
      <c r="C7" s="61"/>
      <c r="D7" s="56"/>
      <c r="E7" s="22">
        <v>0.4</v>
      </c>
      <c r="F7" s="15" t="s">
        <v>17</v>
      </c>
      <c r="G7" s="11"/>
      <c r="H7" s="11"/>
      <c r="I7" s="11"/>
      <c r="J7" s="11"/>
      <c r="K7" s="47"/>
    </row>
    <row r="8" spans="1:11" ht="15.75">
      <c r="A8" s="24" t="s">
        <v>49</v>
      </c>
      <c r="B8" s="29" t="s">
        <v>170</v>
      </c>
      <c r="C8" s="42" t="s">
        <v>171</v>
      </c>
      <c r="D8" s="56"/>
      <c r="E8" s="22">
        <v>0.45</v>
      </c>
      <c r="F8" s="15" t="s">
        <v>17</v>
      </c>
      <c r="G8" s="11"/>
      <c r="H8" s="11"/>
      <c r="I8" s="11"/>
      <c r="J8" s="11"/>
      <c r="K8" s="47"/>
    </row>
    <row r="9" spans="1:11" ht="15.75">
      <c r="A9" s="24" t="s">
        <v>305</v>
      </c>
      <c r="B9" s="29">
        <v>0.11899999999999999</v>
      </c>
      <c r="C9" s="42">
        <v>0.11600000000000001</v>
      </c>
      <c r="D9" s="56"/>
      <c r="E9" s="22">
        <v>0.51</v>
      </c>
      <c r="F9" s="15" t="s">
        <v>17</v>
      </c>
      <c r="G9" s="11"/>
      <c r="H9" s="11"/>
      <c r="I9" s="11"/>
      <c r="J9" s="11"/>
      <c r="K9" s="47"/>
    </row>
    <row r="10" spans="1:11" ht="15.75">
      <c r="A10" s="17" t="s">
        <v>306</v>
      </c>
      <c r="B10" s="42">
        <v>9.4E-2</v>
      </c>
      <c r="C10" s="42">
        <v>9.4E-2</v>
      </c>
      <c r="D10" s="56"/>
      <c r="E10" s="22">
        <v>0.56999999999999995</v>
      </c>
      <c r="F10" s="15" t="s">
        <v>17</v>
      </c>
      <c r="G10" s="11"/>
      <c r="H10" s="11"/>
      <c r="I10" s="11"/>
      <c r="J10" s="11"/>
      <c r="K10" s="47"/>
    </row>
    <row r="11" spans="1:11" ht="15.75">
      <c r="A11" s="17" t="s">
        <v>302</v>
      </c>
      <c r="B11" s="42">
        <v>0.7</v>
      </c>
      <c r="C11" s="42">
        <v>0.06</v>
      </c>
      <c r="D11" s="56"/>
      <c r="E11" s="22">
        <v>0.63</v>
      </c>
      <c r="F11" s="15" t="s">
        <v>17</v>
      </c>
      <c r="G11" s="11"/>
      <c r="H11" s="11"/>
      <c r="I11" s="11"/>
      <c r="J11" s="11"/>
      <c r="K11" s="47"/>
    </row>
    <row r="12" spans="1:11" ht="15.75">
      <c r="A12" s="17" t="s">
        <v>62</v>
      </c>
      <c r="B12" s="42">
        <v>0.4</v>
      </c>
      <c r="C12" s="42">
        <v>0.35</v>
      </c>
      <c r="D12" s="56"/>
      <c r="E12" s="22">
        <v>0.66</v>
      </c>
      <c r="F12" s="15" t="s">
        <v>17</v>
      </c>
      <c r="G12" s="11"/>
      <c r="H12" s="11"/>
      <c r="I12" s="11"/>
      <c r="J12" s="11"/>
      <c r="K12" s="47"/>
    </row>
    <row r="13" spans="1:11" ht="15.75">
      <c r="A13" s="17" t="s">
        <v>15</v>
      </c>
      <c r="B13" s="42" t="s">
        <v>63</v>
      </c>
      <c r="C13" s="42" t="s">
        <v>146</v>
      </c>
      <c r="D13" s="56"/>
      <c r="E13" s="22">
        <v>0.73</v>
      </c>
      <c r="F13" s="15" t="s">
        <v>17</v>
      </c>
      <c r="G13" s="11"/>
      <c r="H13" s="11"/>
      <c r="I13" s="11"/>
      <c r="J13" s="11"/>
      <c r="K13" s="47"/>
    </row>
    <row r="14" spans="1:11" ht="15.75">
      <c r="A14" s="17" t="s">
        <v>312</v>
      </c>
      <c r="B14" s="42" t="s">
        <v>21</v>
      </c>
      <c r="C14" s="42" t="s">
        <v>21</v>
      </c>
      <c r="D14" s="56"/>
      <c r="E14" s="22">
        <v>0.93</v>
      </c>
      <c r="F14" s="15" t="s">
        <v>175</v>
      </c>
      <c r="G14" s="11"/>
      <c r="H14" s="11"/>
      <c r="I14" s="11"/>
      <c r="J14" s="11"/>
      <c r="K14" s="47"/>
    </row>
    <row r="15" spans="1:11" ht="15.75">
      <c r="A15" s="23" t="s">
        <v>313</v>
      </c>
      <c r="B15" s="36">
        <v>1.26</v>
      </c>
      <c r="C15" s="42"/>
      <c r="D15" s="56"/>
      <c r="E15" s="22">
        <v>0.96</v>
      </c>
      <c r="F15" s="15" t="s">
        <v>176</v>
      </c>
      <c r="G15" s="11"/>
      <c r="H15" s="11"/>
      <c r="I15" s="11"/>
      <c r="J15" s="11"/>
      <c r="K15" s="47"/>
    </row>
    <row r="16" spans="1:11" ht="15.75">
      <c r="A16" s="17" t="s">
        <v>18</v>
      </c>
      <c r="B16" s="42">
        <v>0.33239999999999997</v>
      </c>
      <c r="C16" s="42">
        <v>0.33750000000000002</v>
      </c>
      <c r="D16" s="56"/>
      <c r="E16" s="22">
        <v>1.02</v>
      </c>
      <c r="F16" s="15" t="s">
        <v>17</v>
      </c>
      <c r="G16" s="11"/>
      <c r="H16" s="11"/>
      <c r="I16" s="11"/>
      <c r="J16" s="11"/>
      <c r="K16" s="47"/>
    </row>
    <row r="17" spans="1:11" ht="15.75">
      <c r="A17" s="17" t="s">
        <v>314</v>
      </c>
      <c r="B17" s="28" t="s">
        <v>172</v>
      </c>
      <c r="C17" s="28" t="s">
        <v>172</v>
      </c>
      <c r="D17" s="56"/>
      <c r="E17" s="22">
        <v>1.08</v>
      </c>
      <c r="F17" s="15" t="s">
        <v>57</v>
      </c>
      <c r="G17" s="11"/>
      <c r="H17" s="11"/>
      <c r="I17" s="11"/>
      <c r="J17" s="11"/>
      <c r="K17" s="47"/>
    </row>
    <row r="18" spans="1:11" ht="15.75">
      <c r="A18" s="17"/>
      <c r="B18" s="17"/>
      <c r="C18" s="42"/>
      <c r="D18" s="56"/>
      <c r="E18" s="22">
        <v>1.17</v>
      </c>
      <c r="F18" s="15" t="s">
        <v>17</v>
      </c>
      <c r="G18" s="11"/>
      <c r="H18" s="11"/>
      <c r="I18" s="11"/>
      <c r="J18" s="11"/>
      <c r="K18" s="47"/>
    </row>
    <row r="19" spans="1:11" ht="15.75">
      <c r="A19" s="17" t="s">
        <v>179</v>
      </c>
      <c r="B19" s="17"/>
      <c r="C19" s="42" t="s">
        <v>180</v>
      </c>
      <c r="D19" s="56"/>
      <c r="E19" s="22">
        <v>1.26</v>
      </c>
      <c r="F19" s="15" t="s">
        <v>177</v>
      </c>
      <c r="G19" s="11"/>
      <c r="H19" s="11"/>
      <c r="I19" s="11"/>
      <c r="J19" s="11"/>
      <c r="K19" s="47"/>
    </row>
    <row r="20" spans="1:11" ht="15.75">
      <c r="A20" s="17" t="s">
        <v>181</v>
      </c>
      <c r="B20" s="17"/>
      <c r="C20" s="42"/>
      <c r="D20" s="56"/>
      <c r="E20" s="22"/>
      <c r="F20" s="15"/>
      <c r="G20" s="11"/>
      <c r="H20" s="11"/>
      <c r="I20" s="11"/>
      <c r="J20" s="11"/>
      <c r="K20" s="47"/>
    </row>
    <row r="21" spans="1:11" ht="15.75">
      <c r="A21" s="17" t="s">
        <v>182</v>
      </c>
      <c r="B21" s="17"/>
      <c r="C21" s="42"/>
      <c r="D21" s="56"/>
      <c r="E21" s="22"/>
      <c r="F21" s="15"/>
      <c r="G21" s="11"/>
      <c r="H21" s="11"/>
      <c r="I21" s="11"/>
      <c r="J21" s="11"/>
      <c r="K21" s="47"/>
    </row>
  </sheetData>
  <mergeCells count="6">
    <mergeCell ref="A7:C7"/>
    <mergeCell ref="A1:I1"/>
    <mergeCell ref="D4:D21"/>
    <mergeCell ref="A2:C2"/>
    <mergeCell ref="E2:K2"/>
    <mergeCell ref="A3:K3"/>
  </mergeCells>
  <pageMargins left="0.7" right="0.7" top="0.75" bottom="0.75" header="0.3" footer="0.3"/>
  <pageSetup paperSize="9" scale="65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00B050"/>
  </sheetPr>
  <dimension ref="A1:P36"/>
  <sheetViews>
    <sheetView view="pageBreakPreview" zoomScaleNormal="100" zoomScaleSheetLayoutView="100" workbookViewId="0">
      <selection activeCell="R28" sqref="R28"/>
    </sheetView>
  </sheetViews>
  <sheetFormatPr defaultRowHeight="15.75"/>
  <cols>
    <col min="1" max="1" width="40.5703125" style="11" bestFit="1" customWidth="1"/>
    <col min="2" max="2" width="11.5703125" style="11" customWidth="1"/>
    <col min="3" max="3" width="13.85546875" style="11" customWidth="1"/>
    <col min="4" max="9" width="9.140625" style="11"/>
    <col min="10" max="10" width="11.5703125" style="11" customWidth="1"/>
    <col min="11" max="12" width="9.140625" style="11"/>
    <col min="13" max="13" width="9" style="11" customWidth="1"/>
    <col min="14" max="14" width="9.85546875" style="11" bestFit="1" customWidth="1"/>
    <col min="15" max="16384" width="9.140625" style="11"/>
  </cols>
  <sheetData>
    <row r="1" spans="1:12">
      <c r="A1" s="58" t="s">
        <v>183</v>
      </c>
      <c r="B1" s="58"/>
      <c r="C1" s="58"/>
      <c r="D1" s="58"/>
      <c r="E1" s="58"/>
      <c r="F1" s="58"/>
      <c r="G1" s="58"/>
      <c r="H1" s="58"/>
      <c r="I1" s="58"/>
      <c r="J1" s="58"/>
    </row>
    <row r="2" spans="1:12">
      <c r="A2" s="54" t="s">
        <v>1</v>
      </c>
      <c r="B2" s="54"/>
      <c r="C2" s="54"/>
      <c r="D2" s="12"/>
      <c r="E2" s="55" t="s">
        <v>2</v>
      </c>
      <c r="F2" s="55"/>
      <c r="G2" s="55"/>
      <c r="H2" s="55"/>
      <c r="I2" s="55"/>
      <c r="J2" s="55"/>
      <c r="K2" s="55"/>
      <c r="L2" s="55"/>
    </row>
    <row r="3" spans="1:12">
      <c r="A3" s="54" t="s">
        <v>184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</row>
    <row r="4" spans="1:12" ht="15" customHeight="1">
      <c r="D4" s="70" t="s">
        <v>186</v>
      </c>
      <c r="E4" s="22" t="s">
        <v>185</v>
      </c>
      <c r="F4" s="15"/>
      <c r="G4" s="15"/>
      <c r="H4" s="15"/>
    </row>
    <row r="5" spans="1:12">
      <c r="D5" s="56"/>
      <c r="E5" s="22">
        <v>0.05</v>
      </c>
      <c r="F5" s="15" t="s">
        <v>38</v>
      </c>
      <c r="G5" s="15"/>
      <c r="H5" s="15"/>
    </row>
    <row r="6" spans="1:12">
      <c r="A6" s="23"/>
      <c r="B6" s="23"/>
      <c r="C6" s="23"/>
      <c r="D6" s="56"/>
      <c r="E6" s="22">
        <v>0.11</v>
      </c>
      <c r="F6" s="15" t="s">
        <v>17</v>
      </c>
      <c r="G6" s="15"/>
      <c r="H6" s="15"/>
    </row>
    <row r="7" spans="1:12">
      <c r="A7" s="61"/>
      <c r="B7" s="61"/>
      <c r="C7" s="61"/>
      <c r="D7" s="56"/>
      <c r="E7" s="22">
        <v>0.16</v>
      </c>
      <c r="F7" s="15" t="s">
        <v>38</v>
      </c>
      <c r="G7" s="15"/>
      <c r="H7" s="15"/>
    </row>
    <row r="8" spans="1:12">
      <c r="A8" s="24"/>
      <c r="B8" s="29"/>
      <c r="C8" s="42"/>
      <c r="D8" s="56"/>
      <c r="E8" s="22">
        <v>0.25</v>
      </c>
      <c r="F8" s="15" t="s">
        <v>17</v>
      </c>
      <c r="G8" s="15"/>
      <c r="H8" s="15"/>
    </row>
    <row r="9" spans="1:12">
      <c r="A9" s="24" t="s">
        <v>187</v>
      </c>
      <c r="B9" s="29"/>
      <c r="C9" s="42" t="s">
        <v>188</v>
      </c>
      <c r="D9" s="56"/>
      <c r="E9" s="22">
        <v>0.31</v>
      </c>
      <c r="F9" s="15" t="s">
        <v>197</v>
      </c>
      <c r="G9" s="15"/>
      <c r="H9" s="15"/>
    </row>
    <row r="10" spans="1:12">
      <c r="A10" s="17" t="s">
        <v>189</v>
      </c>
      <c r="B10" s="42"/>
      <c r="C10" s="42"/>
      <c r="D10" s="56"/>
      <c r="E10" s="22">
        <v>0.4</v>
      </c>
      <c r="F10" s="15" t="s">
        <v>176</v>
      </c>
      <c r="G10" s="15"/>
      <c r="H10" s="15"/>
    </row>
    <row r="11" spans="1:12">
      <c r="A11" s="17"/>
      <c r="B11" s="42"/>
      <c r="C11" s="42"/>
      <c r="D11" s="56"/>
      <c r="E11" s="22">
        <v>0.46</v>
      </c>
      <c r="F11" s="15" t="s">
        <v>17</v>
      </c>
      <c r="G11" s="15"/>
      <c r="H11" s="15"/>
    </row>
    <row r="12" spans="1:12">
      <c r="A12" s="17"/>
      <c r="B12" s="42"/>
      <c r="C12" s="42"/>
      <c r="D12" s="56"/>
      <c r="E12" s="22">
        <v>0.6</v>
      </c>
      <c r="F12" s="15" t="s">
        <v>17</v>
      </c>
      <c r="G12" s="15"/>
      <c r="H12" s="15"/>
    </row>
    <row r="13" spans="1:12">
      <c r="A13" s="17"/>
      <c r="B13" s="42"/>
      <c r="C13" s="42"/>
      <c r="D13" s="56"/>
      <c r="E13" s="22">
        <v>0.7</v>
      </c>
      <c r="F13" s="15" t="s">
        <v>17</v>
      </c>
      <c r="G13" s="15"/>
      <c r="H13" s="15"/>
    </row>
    <row r="14" spans="1:12">
      <c r="A14" s="17" t="s">
        <v>190</v>
      </c>
      <c r="B14" s="42"/>
      <c r="C14" s="42" t="s">
        <v>191</v>
      </c>
      <c r="D14" s="56"/>
      <c r="E14" s="22">
        <v>0.76</v>
      </c>
      <c r="F14" s="15" t="s">
        <v>198</v>
      </c>
      <c r="G14" s="15"/>
      <c r="H14" s="15"/>
    </row>
    <row r="15" spans="1:12">
      <c r="A15" s="23" t="s">
        <v>192</v>
      </c>
      <c r="B15" s="36"/>
      <c r="C15" s="42"/>
      <c r="D15" s="56"/>
      <c r="E15" s="22">
        <v>0.95</v>
      </c>
      <c r="F15" s="15" t="s">
        <v>17</v>
      </c>
      <c r="G15" s="15"/>
      <c r="H15" s="15"/>
    </row>
    <row r="16" spans="1:12">
      <c r="A16" s="61" t="s">
        <v>169</v>
      </c>
      <c r="B16" s="61"/>
      <c r="C16" s="61"/>
      <c r="D16" s="56"/>
      <c r="E16" s="22">
        <v>1.05</v>
      </c>
      <c r="F16" s="15" t="s">
        <v>17</v>
      </c>
      <c r="G16" s="15"/>
      <c r="H16" s="15"/>
    </row>
    <row r="17" spans="1:16">
      <c r="A17" s="24" t="s">
        <v>49</v>
      </c>
      <c r="B17" s="29" t="s">
        <v>193</v>
      </c>
      <c r="C17" s="42" t="s">
        <v>194</v>
      </c>
      <c r="D17" s="56"/>
      <c r="E17" s="22">
        <v>1.1499999999999999</v>
      </c>
      <c r="F17" s="15" t="s">
        <v>17</v>
      </c>
      <c r="G17" s="15"/>
      <c r="H17" s="15"/>
    </row>
    <row r="18" spans="1:16">
      <c r="A18" s="24" t="s">
        <v>305</v>
      </c>
      <c r="B18" s="29">
        <v>0.2</v>
      </c>
      <c r="C18" s="42">
        <v>0.14000000000000001</v>
      </c>
      <c r="D18" s="56"/>
      <c r="E18" s="22">
        <v>1.25</v>
      </c>
      <c r="F18" s="15" t="s">
        <v>17</v>
      </c>
      <c r="G18" s="15"/>
      <c r="H18" s="15"/>
      <c r="P18" s="9"/>
    </row>
    <row r="19" spans="1:16">
      <c r="A19" s="17" t="s">
        <v>306</v>
      </c>
      <c r="B19" s="42">
        <v>0.24299999999999999</v>
      </c>
      <c r="C19" s="42">
        <v>0.154</v>
      </c>
      <c r="D19" s="56"/>
      <c r="E19" s="22">
        <v>1.32</v>
      </c>
      <c r="F19" s="15" t="s">
        <v>17</v>
      </c>
      <c r="G19" s="15"/>
      <c r="H19" s="15"/>
      <c r="P19" s="5"/>
    </row>
    <row r="20" spans="1:16">
      <c r="A20" s="17" t="s">
        <v>302</v>
      </c>
      <c r="B20" s="42">
        <v>1</v>
      </c>
      <c r="C20" s="42">
        <v>0.7</v>
      </c>
      <c r="D20" s="56"/>
      <c r="E20" s="22">
        <v>1.4</v>
      </c>
      <c r="F20" s="15" t="s">
        <v>196</v>
      </c>
      <c r="G20" s="15"/>
      <c r="H20" s="15"/>
      <c r="P20" s="5"/>
    </row>
    <row r="21" spans="1:16">
      <c r="A21" s="17" t="s">
        <v>62</v>
      </c>
      <c r="B21" s="42">
        <v>0.4</v>
      </c>
      <c r="C21" s="42">
        <v>0.4</v>
      </c>
      <c r="D21" s="56"/>
      <c r="E21" s="22">
        <v>1.42</v>
      </c>
      <c r="F21" s="15" t="s">
        <v>176</v>
      </c>
      <c r="G21" s="15"/>
      <c r="H21" s="15"/>
      <c r="P21" s="5"/>
    </row>
    <row r="22" spans="1:16">
      <c r="A22" s="17" t="s">
        <v>15</v>
      </c>
      <c r="B22" s="42" t="s">
        <v>146</v>
      </c>
      <c r="C22" s="42" t="s">
        <v>63</v>
      </c>
      <c r="D22" s="56"/>
      <c r="E22" s="22">
        <v>1.5</v>
      </c>
      <c r="F22" s="15" t="s">
        <v>17</v>
      </c>
      <c r="G22" s="15"/>
      <c r="H22" s="15"/>
      <c r="P22" s="5"/>
    </row>
    <row r="23" spans="1:16">
      <c r="A23" s="17" t="s">
        <v>18</v>
      </c>
      <c r="B23" s="42">
        <v>0.50600000000000001</v>
      </c>
      <c r="C23" s="42">
        <v>0.42699999999999999</v>
      </c>
      <c r="D23" s="56"/>
      <c r="E23" s="22">
        <v>1.7</v>
      </c>
      <c r="F23" s="15" t="s">
        <v>176</v>
      </c>
      <c r="G23" s="15"/>
      <c r="H23" s="15"/>
      <c r="P23" s="5"/>
    </row>
    <row r="24" spans="1:16">
      <c r="A24" s="17" t="s">
        <v>312</v>
      </c>
      <c r="B24" s="36" t="s">
        <v>21</v>
      </c>
      <c r="C24" s="36" t="s">
        <v>21</v>
      </c>
      <c r="D24" s="56"/>
      <c r="E24" s="22">
        <v>1.75</v>
      </c>
      <c r="F24" s="15" t="s">
        <v>199</v>
      </c>
      <c r="G24" s="15"/>
      <c r="H24" s="15"/>
      <c r="P24" s="6"/>
    </row>
    <row r="25" spans="1:16">
      <c r="A25" s="17" t="s">
        <v>314</v>
      </c>
      <c r="B25" s="28" t="s">
        <v>195</v>
      </c>
      <c r="C25" s="28" t="s">
        <v>195</v>
      </c>
      <c r="D25" s="56"/>
      <c r="E25" s="22">
        <v>1.85</v>
      </c>
      <c r="F25" s="15" t="s">
        <v>17</v>
      </c>
      <c r="G25" s="15"/>
      <c r="H25" s="15"/>
      <c r="P25" s="5"/>
    </row>
    <row r="26" spans="1:16">
      <c r="B26" s="28"/>
      <c r="C26" s="28"/>
      <c r="D26" s="56"/>
      <c r="E26" s="22">
        <v>2</v>
      </c>
      <c r="F26" s="15" t="s">
        <v>17</v>
      </c>
      <c r="G26" s="15"/>
      <c r="H26" s="15"/>
      <c r="P26" s="5"/>
    </row>
    <row r="27" spans="1:16">
      <c r="D27" s="56"/>
      <c r="E27" s="22">
        <v>2.15</v>
      </c>
      <c r="F27" s="15" t="s">
        <v>17</v>
      </c>
      <c r="G27" s="15"/>
      <c r="H27" s="15"/>
    </row>
    <row r="28" spans="1:16">
      <c r="D28" s="56"/>
      <c r="E28" s="22">
        <v>2.19</v>
      </c>
      <c r="F28" s="15" t="s">
        <v>176</v>
      </c>
      <c r="G28" s="15"/>
      <c r="H28" s="15"/>
    </row>
    <row r="29" spans="1:16">
      <c r="D29" s="56"/>
      <c r="E29" s="22">
        <v>2.2999999999999998</v>
      </c>
      <c r="F29" s="15" t="s">
        <v>17</v>
      </c>
      <c r="G29" s="15"/>
      <c r="H29" s="15"/>
    </row>
    <row r="30" spans="1:16">
      <c r="A30" s="23"/>
      <c r="D30" s="56"/>
      <c r="E30" s="22">
        <v>2.4500000000000002</v>
      </c>
      <c r="F30" s="15" t="s">
        <v>17</v>
      </c>
      <c r="G30" s="15"/>
      <c r="H30" s="15"/>
    </row>
    <row r="31" spans="1:16">
      <c r="D31" s="56"/>
      <c r="E31" s="22">
        <v>2.6</v>
      </c>
      <c r="F31" s="15" t="s">
        <v>17</v>
      </c>
      <c r="G31" s="15"/>
      <c r="H31" s="15"/>
    </row>
    <row r="32" spans="1:16">
      <c r="D32" s="56"/>
      <c r="E32" s="22">
        <v>2.7</v>
      </c>
      <c r="F32" s="15" t="s">
        <v>17</v>
      </c>
      <c r="G32" s="15"/>
      <c r="H32" s="15"/>
    </row>
    <row r="33" spans="4:8">
      <c r="D33" s="56"/>
      <c r="E33" s="22">
        <v>2.9</v>
      </c>
      <c r="F33" s="15" t="s">
        <v>17</v>
      </c>
      <c r="G33" s="15"/>
      <c r="H33" s="15"/>
    </row>
    <row r="34" spans="4:8">
      <c r="D34" s="56"/>
      <c r="E34" s="22">
        <v>3.0049999999999999</v>
      </c>
      <c r="F34" s="15" t="s">
        <v>176</v>
      </c>
      <c r="G34" s="15"/>
      <c r="H34" s="15"/>
    </row>
    <row r="35" spans="4:8">
      <c r="D35" s="56"/>
      <c r="E35" s="22">
        <v>3.15</v>
      </c>
      <c r="F35" s="15" t="s">
        <v>17</v>
      </c>
      <c r="G35" s="15"/>
      <c r="H35" s="15"/>
    </row>
    <row r="36" spans="4:8">
      <c r="D36" s="56"/>
      <c r="E36" s="22">
        <v>3.2</v>
      </c>
      <c r="F36" s="15" t="s">
        <v>200</v>
      </c>
      <c r="G36" s="15"/>
      <c r="H36" s="15"/>
    </row>
  </sheetData>
  <mergeCells count="7">
    <mergeCell ref="A7:C7"/>
    <mergeCell ref="A16:C16"/>
    <mergeCell ref="D4:D36"/>
    <mergeCell ref="A1:J1"/>
    <mergeCell ref="A2:C2"/>
    <mergeCell ref="E2:L2"/>
    <mergeCell ref="A3:L3"/>
  </mergeCells>
  <pageMargins left="0.7" right="0.7" top="0.75" bottom="0.75" header="0.3" footer="0.3"/>
  <pageSetup paperSize="9" scale="54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00B050"/>
  </sheetPr>
  <dimension ref="A1:N26"/>
  <sheetViews>
    <sheetView view="pageBreakPreview" zoomScaleNormal="100" zoomScaleSheetLayoutView="100" workbookViewId="0">
      <selection activeCell="J35" sqref="J35"/>
    </sheetView>
  </sheetViews>
  <sheetFormatPr defaultRowHeight="14.25"/>
  <cols>
    <col min="1" max="1" width="34.28515625" style="2" bestFit="1" customWidth="1"/>
    <col min="2" max="2" width="11.5703125" style="2" customWidth="1"/>
    <col min="3" max="3" width="11.85546875" style="2" customWidth="1"/>
    <col min="4" max="8" width="9.140625" style="2"/>
    <col min="9" max="9" width="14.28515625" style="2" customWidth="1"/>
    <col min="10" max="10" width="11.5703125" style="2" customWidth="1"/>
    <col min="11" max="16384" width="9.140625" style="2"/>
  </cols>
  <sheetData>
    <row r="1" spans="1:10" ht="15.75">
      <c r="A1" s="58" t="s">
        <v>201</v>
      </c>
      <c r="B1" s="58"/>
      <c r="C1" s="58"/>
      <c r="D1" s="58"/>
      <c r="E1" s="58"/>
      <c r="F1" s="58"/>
      <c r="G1" s="58"/>
      <c r="H1" s="58"/>
      <c r="I1" s="58"/>
    </row>
    <row r="2" spans="1:10" ht="15.75">
      <c r="A2" s="54" t="s">
        <v>1</v>
      </c>
      <c r="B2" s="54"/>
      <c r="C2" s="54"/>
      <c r="D2" s="12"/>
      <c r="E2" s="55" t="s">
        <v>2</v>
      </c>
      <c r="F2" s="55"/>
      <c r="G2" s="55"/>
      <c r="H2" s="55"/>
      <c r="I2" s="55"/>
    </row>
    <row r="3" spans="1:10" ht="15.75">
      <c r="A3" s="51" t="s">
        <v>202</v>
      </c>
      <c r="B3" s="51"/>
      <c r="C3" s="51"/>
      <c r="D3" s="51"/>
      <c r="E3" s="51"/>
      <c r="F3" s="51"/>
      <c r="G3" s="51"/>
      <c r="H3" s="51"/>
      <c r="I3" s="51"/>
    </row>
    <row r="4" spans="1:10" ht="15" customHeight="1">
      <c r="A4" s="11"/>
      <c r="B4" s="11" t="s">
        <v>203</v>
      </c>
      <c r="C4" s="11"/>
      <c r="D4" s="56" t="s">
        <v>294</v>
      </c>
      <c r="E4" s="22" t="s">
        <v>204</v>
      </c>
      <c r="F4" s="15"/>
      <c r="G4" s="11"/>
      <c r="H4" s="11"/>
      <c r="I4" s="11"/>
      <c r="J4" s="3"/>
    </row>
    <row r="5" spans="1:10" ht="15.75">
      <c r="A5" s="11"/>
      <c r="B5" s="11"/>
      <c r="C5" s="11"/>
      <c r="D5" s="56"/>
      <c r="E5" s="22">
        <v>0.255</v>
      </c>
      <c r="F5" s="15" t="s">
        <v>17</v>
      </c>
      <c r="G5" s="11"/>
      <c r="H5" s="11"/>
      <c r="I5" s="11"/>
      <c r="J5" s="3"/>
    </row>
    <row r="6" spans="1:10" ht="15.75">
      <c r="A6" s="23"/>
      <c r="B6" s="23"/>
      <c r="C6" s="23"/>
      <c r="D6" s="56"/>
      <c r="E6" s="22">
        <v>0.55500000000000005</v>
      </c>
      <c r="F6" s="15" t="s">
        <v>17</v>
      </c>
      <c r="G6" s="11"/>
      <c r="H6" s="11"/>
      <c r="I6" s="11"/>
      <c r="J6" s="3"/>
    </row>
    <row r="7" spans="1:10" ht="15.75">
      <c r="A7" s="61"/>
      <c r="B7" s="61"/>
      <c r="C7" s="61"/>
      <c r="D7" s="56"/>
      <c r="E7" s="22">
        <v>0.65</v>
      </c>
      <c r="F7" s="15" t="s">
        <v>206</v>
      </c>
      <c r="G7" s="11"/>
      <c r="H7" s="11"/>
      <c r="I7" s="11"/>
      <c r="J7" s="3"/>
    </row>
    <row r="8" spans="1:10" ht="15.75">
      <c r="A8" s="24"/>
      <c r="B8" s="25"/>
      <c r="C8" s="26"/>
      <c r="D8" s="56"/>
      <c r="E8" s="22">
        <v>0.87</v>
      </c>
      <c r="F8" s="15" t="s">
        <v>17</v>
      </c>
      <c r="G8" s="11"/>
      <c r="H8" s="11"/>
      <c r="I8" s="11"/>
      <c r="J8" s="3"/>
    </row>
    <row r="9" spans="1:10" ht="15.75">
      <c r="A9" s="24" t="s">
        <v>210</v>
      </c>
      <c r="B9" s="25"/>
      <c r="C9" s="26" t="s">
        <v>211</v>
      </c>
      <c r="D9" s="56"/>
      <c r="E9" s="22">
        <v>1.05</v>
      </c>
      <c r="F9" s="15" t="s">
        <v>17</v>
      </c>
      <c r="G9" s="11"/>
      <c r="H9" s="11"/>
      <c r="I9" s="11"/>
      <c r="J9" s="3"/>
    </row>
    <row r="10" spans="1:10" ht="15.75">
      <c r="A10" s="17" t="s">
        <v>212</v>
      </c>
      <c r="B10" s="17"/>
      <c r="C10" s="17"/>
      <c r="D10" s="56"/>
      <c r="E10" s="22">
        <v>1.2</v>
      </c>
      <c r="F10" s="15" t="s">
        <v>207</v>
      </c>
      <c r="G10" s="11"/>
      <c r="H10" s="11"/>
      <c r="I10" s="11"/>
      <c r="J10" s="3"/>
    </row>
    <row r="11" spans="1:10" ht="15.75">
      <c r="A11" s="17"/>
      <c r="B11" s="26"/>
      <c r="C11" s="26"/>
      <c r="D11" s="56"/>
      <c r="E11" s="22">
        <v>1.29</v>
      </c>
      <c r="F11" s="15" t="s">
        <v>17</v>
      </c>
      <c r="G11" s="11"/>
      <c r="H11" s="11"/>
      <c r="I11" s="11"/>
      <c r="J11" s="3"/>
    </row>
    <row r="12" spans="1:10" ht="15.75">
      <c r="A12" s="17"/>
      <c r="B12" s="26"/>
      <c r="C12" s="26"/>
      <c r="D12" s="56"/>
      <c r="E12" s="22">
        <v>1.33</v>
      </c>
      <c r="F12" s="15" t="s">
        <v>78</v>
      </c>
      <c r="G12" s="11"/>
      <c r="H12" s="11"/>
      <c r="I12" s="11"/>
      <c r="J12" s="3"/>
    </row>
    <row r="13" spans="1:10" ht="15.75">
      <c r="A13" s="17" t="s">
        <v>213</v>
      </c>
      <c r="B13" s="26"/>
      <c r="C13" s="26" t="s">
        <v>214</v>
      </c>
      <c r="D13" s="56"/>
      <c r="E13" s="22">
        <v>1.35</v>
      </c>
      <c r="F13" s="15" t="s">
        <v>17</v>
      </c>
      <c r="G13" s="11"/>
      <c r="H13" s="11"/>
      <c r="I13" s="11"/>
      <c r="J13" s="3"/>
    </row>
    <row r="14" spans="1:10" ht="15.75">
      <c r="A14" s="17" t="s">
        <v>215</v>
      </c>
      <c r="B14" s="26"/>
      <c r="C14" s="26"/>
      <c r="D14" s="56"/>
      <c r="E14" s="22">
        <v>1.47</v>
      </c>
      <c r="F14" s="15" t="s">
        <v>208</v>
      </c>
      <c r="G14" s="11"/>
      <c r="H14" s="11"/>
      <c r="I14" s="11"/>
      <c r="J14" s="3"/>
    </row>
    <row r="15" spans="1:10" ht="15.75">
      <c r="A15" s="23"/>
      <c r="B15" s="14"/>
      <c r="C15" s="26"/>
      <c r="D15" s="56"/>
      <c r="E15" s="22">
        <v>1.62</v>
      </c>
      <c r="F15" s="15" t="s">
        <v>17</v>
      </c>
      <c r="G15" s="11"/>
      <c r="H15" s="11"/>
      <c r="I15" s="11"/>
      <c r="J15" s="3"/>
    </row>
    <row r="16" spans="1:10" ht="15.75">
      <c r="A16" s="61" t="s">
        <v>6</v>
      </c>
      <c r="B16" s="61"/>
      <c r="C16" s="61"/>
      <c r="D16" s="56"/>
      <c r="E16" s="22">
        <v>1.68</v>
      </c>
      <c r="F16" s="15" t="s">
        <v>17</v>
      </c>
      <c r="G16" s="11"/>
      <c r="H16" s="11"/>
      <c r="I16" s="11"/>
      <c r="J16" s="3"/>
    </row>
    <row r="17" spans="1:14" ht="15.75">
      <c r="A17" s="24" t="s">
        <v>305</v>
      </c>
      <c r="B17" s="25">
        <v>0.09</v>
      </c>
      <c r="C17" s="26"/>
      <c r="D17" s="56"/>
      <c r="E17" s="22">
        <v>1.74</v>
      </c>
      <c r="F17" s="15" t="s">
        <v>17</v>
      </c>
      <c r="G17" s="11"/>
      <c r="H17" s="11"/>
      <c r="I17" s="11"/>
      <c r="J17" s="3"/>
      <c r="N17" s="24"/>
    </row>
    <row r="18" spans="1:14" ht="15.75">
      <c r="A18" s="17" t="s">
        <v>306</v>
      </c>
      <c r="B18" s="25">
        <v>0.12</v>
      </c>
      <c r="C18" s="26"/>
      <c r="D18" s="56"/>
      <c r="E18" s="22">
        <v>1.77</v>
      </c>
      <c r="F18" s="15" t="s">
        <v>209</v>
      </c>
      <c r="G18" s="11"/>
      <c r="H18" s="11"/>
      <c r="I18" s="11"/>
      <c r="J18" s="3"/>
      <c r="N18" s="17"/>
    </row>
    <row r="19" spans="1:14" ht="15.75">
      <c r="A19" s="17" t="s">
        <v>302</v>
      </c>
      <c r="B19" s="26">
        <v>0.8</v>
      </c>
      <c r="C19" s="26"/>
      <c r="D19" s="56"/>
      <c r="E19" s="22" t="s">
        <v>205</v>
      </c>
      <c r="F19" s="15"/>
      <c r="G19" s="11"/>
      <c r="H19" s="11"/>
      <c r="I19" s="11"/>
      <c r="J19" s="3"/>
      <c r="N19" s="17"/>
    </row>
    <row r="20" spans="1:14" ht="15.75">
      <c r="A20" s="17" t="s">
        <v>312</v>
      </c>
      <c r="B20" s="26" t="s">
        <v>21</v>
      </c>
      <c r="C20" s="26"/>
      <c r="D20" s="56"/>
      <c r="E20" s="27"/>
      <c r="F20" s="11"/>
      <c r="G20" s="11"/>
      <c r="H20" s="11"/>
      <c r="I20" s="11"/>
      <c r="J20" s="3"/>
      <c r="N20" s="17"/>
    </row>
    <row r="21" spans="1:14" ht="15.75">
      <c r="A21" s="17" t="s">
        <v>314</v>
      </c>
      <c r="B21" s="28" t="s">
        <v>172</v>
      </c>
      <c r="C21" s="26"/>
      <c r="D21" s="56"/>
      <c r="E21" s="27"/>
      <c r="F21" s="11"/>
      <c r="G21" s="11"/>
      <c r="H21" s="11"/>
      <c r="I21" s="11"/>
      <c r="J21" s="3"/>
      <c r="N21" s="17"/>
    </row>
    <row r="22" spans="1:14" ht="15.75">
      <c r="A22" s="17" t="s">
        <v>15</v>
      </c>
      <c r="B22" s="26" t="s">
        <v>63</v>
      </c>
      <c r="C22" s="26"/>
      <c r="D22" s="56"/>
      <c r="E22" s="27"/>
      <c r="F22" s="11"/>
      <c r="G22" s="11"/>
      <c r="H22" s="11"/>
      <c r="I22" s="11"/>
      <c r="J22" s="3"/>
      <c r="N22" s="17"/>
    </row>
    <row r="23" spans="1:14" ht="15.75">
      <c r="A23" s="17" t="s">
        <v>313</v>
      </c>
      <c r="B23" s="26">
        <v>1.77</v>
      </c>
      <c r="C23" s="26"/>
      <c r="D23" s="56"/>
      <c r="E23" s="27"/>
      <c r="F23" s="11"/>
      <c r="G23" s="11"/>
      <c r="H23" s="11"/>
      <c r="I23" s="11"/>
      <c r="J23" s="3"/>
      <c r="N23" s="17"/>
    </row>
    <row r="24" spans="1:14" ht="15.75">
      <c r="A24" s="17" t="s">
        <v>315</v>
      </c>
      <c r="B24" s="26">
        <v>2.5000000000000001E-2</v>
      </c>
      <c r="C24" s="26"/>
      <c r="D24" s="56"/>
      <c r="E24" s="27"/>
      <c r="F24" s="11"/>
      <c r="G24" s="11"/>
      <c r="H24" s="11"/>
      <c r="I24" s="11"/>
      <c r="J24" s="3"/>
      <c r="N24" s="17"/>
    </row>
    <row r="25" spans="1:14" ht="15.75">
      <c r="A25" s="17" t="s">
        <v>18</v>
      </c>
      <c r="B25" s="26">
        <v>0.31</v>
      </c>
      <c r="C25" s="26"/>
      <c r="D25" s="56"/>
      <c r="E25" s="27"/>
      <c r="F25" s="11"/>
      <c r="G25" s="11"/>
      <c r="H25" s="11"/>
      <c r="I25" s="11"/>
      <c r="J25" s="3"/>
    </row>
    <row r="26" spans="1:14" ht="15.75">
      <c r="A26" s="17" t="s">
        <v>216</v>
      </c>
      <c r="B26" s="26">
        <v>0.4</v>
      </c>
      <c r="C26" s="26"/>
      <c r="D26" s="56"/>
      <c r="E26" s="27"/>
      <c r="F26" s="11"/>
      <c r="G26" s="11"/>
      <c r="H26" s="11"/>
      <c r="I26" s="11"/>
      <c r="J26" s="3"/>
    </row>
  </sheetData>
  <mergeCells count="7">
    <mergeCell ref="A1:I1"/>
    <mergeCell ref="A3:I3"/>
    <mergeCell ref="D4:D26"/>
    <mergeCell ref="A7:C7"/>
    <mergeCell ref="A16:C16"/>
    <mergeCell ref="A2:C2"/>
    <mergeCell ref="E2:I2"/>
  </mergeCells>
  <pageMargins left="0.7" right="0.7" top="0.75" bottom="0.75" header="0.3" footer="0.3"/>
  <pageSetup paperSize="9" scale="70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00B050"/>
  </sheetPr>
  <dimension ref="A1:J26"/>
  <sheetViews>
    <sheetView view="pageBreakPreview" zoomScale="110" zoomScaleNormal="100" zoomScaleSheetLayoutView="110" workbookViewId="0">
      <selection activeCell="L24" sqref="L24"/>
    </sheetView>
  </sheetViews>
  <sheetFormatPr defaultRowHeight="15"/>
  <cols>
    <col min="1" max="1" width="15.7109375" customWidth="1"/>
    <col min="9" max="9" width="10" customWidth="1"/>
  </cols>
  <sheetData>
    <row r="1" spans="1:10" ht="15.75">
      <c r="A1" s="58" t="s">
        <v>217</v>
      </c>
      <c r="B1" s="58"/>
      <c r="C1" s="58"/>
      <c r="D1" s="58"/>
      <c r="E1" s="58"/>
      <c r="F1" s="58"/>
      <c r="G1" s="58"/>
      <c r="H1" s="58"/>
      <c r="I1" s="58"/>
    </row>
    <row r="2" spans="1:10" ht="15.75">
      <c r="A2" s="54" t="s">
        <v>1</v>
      </c>
      <c r="B2" s="54"/>
      <c r="C2" s="54"/>
      <c r="D2" s="12"/>
      <c r="E2" s="55" t="s">
        <v>2</v>
      </c>
      <c r="F2" s="55"/>
      <c r="G2" s="55"/>
      <c r="H2" s="55"/>
      <c r="I2" s="55"/>
      <c r="J2" s="55"/>
    </row>
    <row r="3" spans="1:10" ht="15.75">
      <c r="A3" s="51" t="s">
        <v>218</v>
      </c>
      <c r="B3" s="51"/>
      <c r="C3" s="51"/>
      <c r="D3" s="51"/>
      <c r="E3" s="51"/>
      <c r="F3" s="51"/>
      <c r="G3" s="51"/>
      <c r="H3" s="51"/>
      <c r="I3" s="51"/>
      <c r="J3" s="51"/>
    </row>
    <row r="4" spans="1:10" ht="15.75">
      <c r="A4" s="11" t="s">
        <v>219</v>
      </c>
      <c r="B4" s="11"/>
      <c r="C4" s="11"/>
      <c r="D4" s="70" t="s">
        <v>295</v>
      </c>
      <c r="E4" s="22" t="s">
        <v>223</v>
      </c>
      <c r="F4" s="15"/>
      <c r="G4" s="15"/>
      <c r="H4" s="11"/>
      <c r="I4" s="11"/>
    </row>
    <row r="5" spans="1:10" ht="15.75">
      <c r="A5" s="11" t="s">
        <v>220</v>
      </c>
      <c r="B5" s="11"/>
      <c r="C5" s="11" t="s">
        <v>221</v>
      </c>
      <c r="D5" s="56"/>
      <c r="E5" s="22">
        <v>0.24</v>
      </c>
      <c r="F5" s="15" t="s">
        <v>224</v>
      </c>
      <c r="G5" s="15"/>
      <c r="H5" s="11"/>
      <c r="I5" s="11"/>
    </row>
    <row r="6" spans="1:10" ht="15.75">
      <c r="A6" s="23" t="s">
        <v>222</v>
      </c>
      <c r="B6" s="23"/>
      <c r="C6" s="23"/>
      <c r="D6" s="56"/>
      <c r="E6" s="22">
        <v>0.36</v>
      </c>
      <c r="F6" s="15" t="s">
        <v>17</v>
      </c>
      <c r="G6" s="15"/>
      <c r="H6" s="11"/>
      <c r="I6" s="11"/>
    </row>
    <row r="7" spans="1:10" ht="15.75">
      <c r="A7" s="24"/>
      <c r="B7" s="24"/>
      <c r="C7" s="24"/>
      <c r="D7" s="56"/>
      <c r="E7" s="22">
        <v>0.42</v>
      </c>
      <c r="F7" s="15" t="s">
        <v>225</v>
      </c>
      <c r="G7" s="15"/>
      <c r="H7" s="11"/>
      <c r="I7" s="11"/>
    </row>
    <row r="8" spans="1:10" ht="15.75">
      <c r="A8" s="24" t="s">
        <v>229</v>
      </c>
      <c r="B8" s="29"/>
      <c r="C8" s="42"/>
      <c r="D8" s="56"/>
      <c r="E8" s="22">
        <v>0.48</v>
      </c>
      <c r="F8" s="15" t="s">
        <v>226</v>
      </c>
      <c r="G8" s="15"/>
      <c r="H8" s="11"/>
      <c r="I8" s="11"/>
    </row>
    <row r="9" spans="1:10" ht="15.75">
      <c r="A9" s="24" t="s">
        <v>230</v>
      </c>
      <c r="B9" s="29"/>
      <c r="C9" s="42" t="s">
        <v>231</v>
      </c>
      <c r="D9" s="56"/>
      <c r="E9" s="22">
        <v>0.54</v>
      </c>
      <c r="F9" s="15" t="s">
        <v>40</v>
      </c>
      <c r="G9" s="15"/>
      <c r="H9" s="11"/>
      <c r="I9" s="11"/>
    </row>
    <row r="10" spans="1:10" ht="15.75">
      <c r="A10" s="17" t="s">
        <v>232</v>
      </c>
      <c r="B10" s="17"/>
      <c r="C10" s="17"/>
      <c r="D10" s="56"/>
      <c r="E10" s="22">
        <v>0.56999999999999995</v>
      </c>
      <c r="F10" s="15" t="s">
        <v>176</v>
      </c>
      <c r="G10" s="15"/>
      <c r="H10" s="11"/>
      <c r="I10" s="11"/>
    </row>
    <row r="11" spans="1:10" ht="15.75">
      <c r="A11" s="17"/>
      <c r="B11" s="42"/>
      <c r="C11" s="42"/>
      <c r="D11" s="56"/>
      <c r="E11" s="22">
        <v>0.6</v>
      </c>
      <c r="F11" s="15" t="s">
        <v>227</v>
      </c>
      <c r="G11" s="15"/>
      <c r="H11" s="11"/>
      <c r="I11" s="11"/>
    </row>
    <row r="12" spans="1:10" ht="15.75">
      <c r="A12" s="60" t="s">
        <v>44</v>
      </c>
      <c r="B12" s="60"/>
      <c r="C12" s="60"/>
      <c r="D12" s="56"/>
      <c r="E12" s="22">
        <v>0.63</v>
      </c>
      <c r="F12" s="15" t="s">
        <v>227</v>
      </c>
      <c r="G12" s="15"/>
      <c r="H12" s="11"/>
      <c r="I12" s="11"/>
    </row>
    <row r="13" spans="1:10" ht="15.75">
      <c r="A13" s="24" t="s">
        <v>305</v>
      </c>
      <c r="B13" s="29">
        <v>0.1</v>
      </c>
      <c r="C13" s="17"/>
      <c r="D13" s="56"/>
      <c r="E13" s="22">
        <v>0.69</v>
      </c>
      <c r="F13" s="15" t="s">
        <v>227</v>
      </c>
      <c r="G13" s="15"/>
      <c r="H13" s="11"/>
      <c r="I13" s="11"/>
    </row>
    <row r="14" spans="1:10" ht="15.75">
      <c r="A14" s="17" t="s">
        <v>306</v>
      </c>
      <c r="B14" s="29">
        <v>0.13600000000000001</v>
      </c>
      <c r="C14" s="17"/>
      <c r="D14" s="56"/>
      <c r="E14" s="22">
        <v>0.78</v>
      </c>
      <c r="F14" s="15" t="s">
        <v>228</v>
      </c>
      <c r="G14" s="15"/>
      <c r="H14" s="11"/>
      <c r="I14" s="11"/>
    </row>
    <row r="15" spans="1:10" ht="15.75">
      <c r="A15" s="17" t="s">
        <v>302</v>
      </c>
      <c r="B15" s="42">
        <v>0.8</v>
      </c>
      <c r="C15" s="17"/>
      <c r="D15" s="56"/>
      <c r="E15" s="27"/>
      <c r="F15" s="11"/>
      <c r="G15" s="11"/>
      <c r="H15" s="11"/>
      <c r="I15" s="11"/>
      <c r="J15" s="24"/>
    </row>
    <row r="16" spans="1:10" ht="15.75">
      <c r="A16" s="17" t="s">
        <v>216</v>
      </c>
      <c r="B16" s="42">
        <v>0.4</v>
      </c>
      <c r="C16" s="17"/>
      <c r="D16" s="56"/>
      <c r="E16" s="27"/>
      <c r="F16" s="11"/>
      <c r="G16" s="11"/>
      <c r="H16" s="11"/>
      <c r="I16" s="11"/>
      <c r="J16" s="17"/>
    </row>
    <row r="17" spans="1:10" ht="15.75">
      <c r="A17" s="17" t="s">
        <v>48</v>
      </c>
      <c r="B17" s="11">
        <v>227.75800000000001</v>
      </c>
      <c r="C17" s="17"/>
      <c r="D17" s="56"/>
      <c r="E17" s="27"/>
      <c r="F17" s="11"/>
      <c r="G17" s="11"/>
      <c r="H17" s="11"/>
      <c r="I17" s="11"/>
      <c r="J17" s="17"/>
    </row>
    <row r="18" spans="1:10" ht="15.75">
      <c r="A18" s="17" t="s">
        <v>312</v>
      </c>
      <c r="B18" s="42" t="s">
        <v>21</v>
      </c>
      <c r="C18" s="17"/>
      <c r="D18" s="56"/>
      <c r="E18" s="27"/>
      <c r="F18" s="11"/>
      <c r="G18" s="11"/>
      <c r="H18" s="11"/>
      <c r="I18" s="11"/>
      <c r="J18" s="17"/>
    </row>
    <row r="19" spans="1:10" ht="15.75">
      <c r="A19" s="17" t="s">
        <v>314</v>
      </c>
      <c r="B19" s="28" t="s">
        <v>172</v>
      </c>
      <c r="C19" s="17"/>
      <c r="D19" s="56"/>
      <c r="E19" s="27"/>
      <c r="F19" s="11"/>
      <c r="G19" s="11"/>
      <c r="H19" s="11"/>
      <c r="I19" s="11"/>
      <c r="J19" s="17"/>
    </row>
    <row r="20" spans="1:10" ht="15.75">
      <c r="A20" s="17" t="s">
        <v>15</v>
      </c>
      <c r="B20" s="42" t="s">
        <v>63</v>
      </c>
      <c r="C20" s="17"/>
      <c r="D20" s="56"/>
      <c r="E20" s="27"/>
      <c r="F20" s="11"/>
      <c r="G20" s="11"/>
      <c r="H20" s="11"/>
      <c r="I20" s="11"/>
      <c r="J20" s="17"/>
    </row>
    <row r="21" spans="1:10" ht="15.75">
      <c r="A21" s="17" t="s">
        <v>315</v>
      </c>
      <c r="B21" s="42">
        <v>2.5000000000000001E-2</v>
      </c>
      <c r="C21" s="17"/>
      <c r="D21" s="56"/>
      <c r="E21" s="27"/>
      <c r="F21" s="11"/>
      <c r="G21" s="11"/>
      <c r="H21" s="11"/>
      <c r="I21" s="11"/>
      <c r="J21" s="17"/>
    </row>
    <row r="22" spans="1:10" ht="15.75">
      <c r="A22" s="11"/>
      <c r="B22" s="11"/>
      <c r="C22" s="17"/>
      <c r="D22" s="56"/>
      <c r="E22" s="27"/>
      <c r="F22" s="11"/>
      <c r="G22" s="11"/>
      <c r="H22" s="11"/>
      <c r="I22" s="11"/>
      <c r="J22" s="17"/>
    </row>
    <row r="23" spans="1:10" ht="15.75">
      <c r="A23" s="17"/>
      <c r="B23" s="42"/>
      <c r="C23" s="42"/>
      <c r="D23" s="56"/>
      <c r="E23" s="27"/>
      <c r="F23" s="11"/>
      <c r="G23" s="11"/>
      <c r="H23" s="11"/>
      <c r="I23" s="11"/>
      <c r="J23" s="17"/>
    </row>
    <row r="24" spans="1:10" ht="15.75">
      <c r="A24" s="17"/>
      <c r="B24" s="42"/>
      <c r="C24" s="42"/>
      <c r="D24" s="56"/>
      <c r="E24" s="27"/>
      <c r="F24" s="11"/>
      <c r="G24" s="11"/>
      <c r="H24" s="11"/>
      <c r="I24" s="11"/>
      <c r="J24" s="17"/>
    </row>
    <row r="25" spans="1:10" ht="15.75">
      <c r="A25" s="11"/>
      <c r="B25" s="11"/>
      <c r="C25" s="42"/>
      <c r="D25" s="56"/>
      <c r="E25" s="27"/>
      <c r="F25" s="11"/>
      <c r="G25" s="11"/>
      <c r="H25" s="11"/>
      <c r="I25" s="11"/>
    </row>
    <row r="26" spans="1:10" ht="15.75">
      <c r="A26" s="11"/>
      <c r="B26" s="11"/>
      <c r="C26" s="42"/>
      <c r="D26" s="56"/>
      <c r="E26" s="27"/>
      <c r="F26" s="11"/>
      <c r="G26" s="11"/>
      <c r="H26" s="11"/>
      <c r="I26" s="11"/>
    </row>
  </sheetData>
  <mergeCells count="6">
    <mergeCell ref="A1:I1"/>
    <mergeCell ref="D4:D26"/>
    <mergeCell ref="A12:C12"/>
    <mergeCell ref="A2:C2"/>
    <mergeCell ref="E2:J2"/>
    <mergeCell ref="A3:J3"/>
  </mergeCells>
  <pageMargins left="0.7" right="0.7" top="0.75" bottom="0.75" header="0.3" footer="0.3"/>
  <pageSetup paperSize="9" scale="88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00B050"/>
  </sheetPr>
  <dimension ref="A1:N30"/>
  <sheetViews>
    <sheetView view="pageBreakPreview" zoomScale="110" zoomScaleNormal="160" zoomScaleSheetLayoutView="110" workbookViewId="0">
      <selection activeCell="P8" sqref="P8"/>
    </sheetView>
  </sheetViews>
  <sheetFormatPr defaultRowHeight="15.75"/>
  <cols>
    <col min="1" max="1" width="16.85546875" style="11" customWidth="1"/>
    <col min="2" max="2" width="9.140625" style="11"/>
    <col min="3" max="3" width="10.7109375" style="11" bestFit="1" customWidth="1"/>
    <col min="4" max="4" width="9.140625" style="11"/>
    <col min="5" max="5" width="9.85546875" style="11" customWidth="1"/>
    <col min="6" max="10" width="9.140625" style="11"/>
    <col min="11" max="11" width="12.42578125" style="11" customWidth="1"/>
    <col min="12" max="12" width="10.42578125" style="11" customWidth="1"/>
    <col min="13" max="16384" width="9.140625" style="11"/>
  </cols>
  <sheetData>
    <row r="1" spans="1:14">
      <c r="A1" s="58" t="s">
        <v>233</v>
      </c>
      <c r="B1" s="58"/>
      <c r="C1" s="58"/>
      <c r="D1" s="58"/>
      <c r="E1" s="58"/>
      <c r="F1" s="58"/>
      <c r="G1" s="58"/>
      <c r="H1" s="58"/>
      <c r="I1" s="58"/>
      <c r="J1" s="58"/>
    </row>
    <row r="2" spans="1:14">
      <c r="A2" s="54" t="s">
        <v>1</v>
      </c>
      <c r="B2" s="54"/>
      <c r="C2" s="54"/>
      <c r="D2" s="12"/>
      <c r="E2" s="55" t="s">
        <v>2</v>
      </c>
      <c r="F2" s="55"/>
      <c r="G2" s="55"/>
      <c r="H2" s="55"/>
      <c r="I2" s="55"/>
      <c r="J2" s="55"/>
      <c r="K2" s="55"/>
    </row>
    <row r="3" spans="1:14">
      <c r="A3" s="51" t="s">
        <v>234</v>
      </c>
      <c r="B3" s="51"/>
      <c r="C3" s="51"/>
      <c r="D3" s="51"/>
      <c r="E3" s="51"/>
      <c r="F3" s="51"/>
      <c r="G3" s="51"/>
      <c r="H3" s="51"/>
      <c r="I3" s="51"/>
      <c r="J3" s="51"/>
      <c r="K3" s="51"/>
    </row>
    <row r="4" spans="1:14" ht="15" customHeight="1">
      <c r="A4" s="11" t="s">
        <v>235</v>
      </c>
      <c r="C4" s="11" t="s">
        <v>106</v>
      </c>
      <c r="D4" s="56" t="s">
        <v>247</v>
      </c>
      <c r="E4" s="22" t="s">
        <v>237</v>
      </c>
      <c r="F4" s="15"/>
      <c r="G4" s="15"/>
    </row>
    <row r="5" spans="1:14">
      <c r="A5" s="11" t="s">
        <v>236</v>
      </c>
      <c r="D5" s="56"/>
      <c r="E5" s="22">
        <v>0.04</v>
      </c>
      <c r="F5" s="15" t="s">
        <v>38</v>
      </c>
      <c r="G5" s="15"/>
    </row>
    <row r="6" spans="1:14">
      <c r="A6" s="23"/>
      <c r="B6" s="23"/>
      <c r="C6" s="23"/>
      <c r="D6" s="56"/>
      <c r="E6" s="22">
        <v>0.18</v>
      </c>
      <c r="F6" s="15" t="s">
        <v>241</v>
      </c>
      <c r="G6" s="15"/>
    </row>
    <row r="7" spans="1:14">
      <c r="A7" s="24"/>
      <c r="B7" s="24"/>
      <c r="C7" s="24"/>
      <c r="D7" s="56"/>
      <c r="E7" s="22">
        <v>0.3</v>
      </c>
      <c r="F7" s="15" t="s">
        <v>38</v>
      </c>
      <c r="G7" s="15"/>
    </row>
    <row r="8" spans="1:14">
      <c r="A8" s="24"/>
      <c r="B8" s="25"/>
      <c r="C8" s="26"/>
      <c r="D8" s="56"/>
      <c r="E8" s="22">
        <v>0.38</v>
      </c>
      <c r="F8" s="15" t="s">
        <v>38</v>
      </c>
      <c r="G8" s="15"/>
    </row>
    <row r="9" spans="1:14">
      <c r="A9" s="24"/>
      <c r="B9" s="25"/>
      <c r="C9" s="26"/>
      <c r="D9" s="56"/>
      <c r="E9" s="22">
        <v>0.48</v>
      </c>
      <c r="F9" s="15" t="s">
        <v>38</v>
      </c>
      <c r="G9" s="15"/>
    </row>
    <row r="10" spans="1:14">
      <c r="A10" s="17"/>
      <c r="B10" s="17"/>
      <c r="C10" s="17"/>
      <c r="D10" s="56"/>
      <c r="E10" s="22">
        <v>0.54</v>
      </c>
      <c r="F10" s="15" t="s">
        <v>38</v>
      </c>
      <c r="G10" s="15"/>
    </row>
    <row r="11" spans="1:14">
      <c r="A11" s="17" t="s">
        <v>238</v>
      </c>
      <c r="B11" s="26"/>
      <c r="C11" s="26" t="s">
        <v>239</v>
      </c>
      <c r="D11" s="56"/>
      <c r="E11" s="22">
        <v>0.68</v>
      </c>
      <c r="F11" s="15" t="s">
        <v>38</v>
      </c>
      <c r="G11" s="15"/>
    </row>
    <row r="12" spans="1:14">
      <c r="A12" s="17" t="s">
        <v>240</v>
      </c>
      <c r="B12" s="17"/>
      <c r="C12" s="17"/>
      <c r="D12" s="56"/>
      <c r="E12" s="22">
        <v>0.86</v>
      </c>
      <c r="F12" s="15" t="s">
        <v>38</v>
      </c>
      <c r="G12" s="15"/>
    </row>
    <row r="13" spans="1:14">
      <c r="A13" s="24"/>
      <c r="B13" s="25"/>
      <c r="C13" s="17"/>
      <c r="D13" s="56"/>
      <c r="E13" s="22">
        <v>0.95</v>
      </c>
      <c r="F13" s="15" t="s">
        <v>242</v>
      </c>
      <c r="G13" s="15"/>
    </row>
    <row r="14" spans="1:14">
      <c r="A14" s="17"/>
      <c r="B14" s="25"/>
      <c r="C14" s="17"/>
      <c r="D14" s="56"/>
      <c r="E14" s="22">
        <v>1.01</v>
      </c>
      <c r="F14" s="15" t="s">
        <v>243</v>
      </c>
      <c r="G14" s="15"/>
    </row>
    <row r="15" spans="1:14">
      <c r="A15" s="60" t="s">
        <v>44</v>
      </c>
      <c r="B15" s="60"/>
      <c r="C15" s="60"/>
      <c r="D15" s="56"/>
      <c r="E15" s="22">
        <v>1.03</v>
      </c>
      <c r="F15" s="15" t="s">
        <v>244</v>
      </c>
      <c r="G15" s="15"/>
    </row>
    <row r="16" spans="1:14">
      <c r="A16" s="24" t="s">
        <v>305</v>
      </c>
      <c r="B16" s="43">
        <v>0.14799999999999999</v>
      </c>
      <c r="C16" s="17"/>
      <c r="D16" s="56"/>
      <c r="E16" s="22">
        <v>1.05</v>
      </c>
      <c r="F16" s="15" t="s">
        <v>38</v>
      </c>
      <c r="G16" s="15"/>
      <c r="N16" s="24"/>
    </row>
    <row r="17" spans="1:14">
      <c r="A17" s="17" t="s">
        <v>306</v>
      </c>
      <c r="B17" s="43">
        <v>0.155</v>
      </c>
      <c r="C17" s="17"/>
      <c r="D17" s="56"/>
      <c r="E17" s="22">
        <v>1.07</v>
      </c>
      <c r="F17" s="15" t="s">
        <v>38</v>
      </c>
      <c r="G17" s="15"/>
      <c r="N17" s="17"/>
    </row>
    <row r="18" spans="1:14">
      <c r="A18" s="17" t="s">
        <v>15</v>
      </c>
      <c r="B18" s="35" t="s">
        <v>63</v>
      </c>
      <c r="C18" s="17"/>
      <c r="D18" s="56"/>
      <c r="E18" s="22">
        <v>1.1399999999999999</v>
      </c>
      <c r="F18" s="15" t="s">
        <v>38</v>
      </c>
      <c r="G18" s="15"/>
      <c r="N18" s="17"/>
    </row>
    <row r="19" spans="1:14">
      <c r="A19" s="17" t="s">
        <v>302</v>
      </c>
      <c r="B19" s="35">
        <v>0.9</v>
      </c>
      <c r="C19" s="17"/>
      <c r="D19" s="56"/>
      <c r="E19" s="22">
        <v>1.18</v>
      </c>
      <c r="F19" s="15" t="s">
        <v>38</v>
      </c>
      <c r="G19" s="15"/>
      <c r="N19" s="17"/>
    </row>
    <row r="20" spans="1:14">
      <c r="A20" s="17" t="s">
        <v>315</v>
      </c>
      <c r="B20" s="35">
        <v>0.02</v>
      </c>
      <c r="C20" s="17"/>
      <c r="D20" s="56"/>
      <c r="E20" s="22">
        <v>1.3</v>
      </c>
      <c r="F20" s="15" t="s">
        <v>38</v>
      </c>
      <c r="G20" s="15"/>
      <c r="N20" s="17"/>
    </row>
    <row r="21" spans="1:14">
      <c r="A21" s="17" t="s">
        <v>48</v>
      </c>
      <c r="B21" s="35">
        <v>226.14</v>
      </c>
      <c r="C21" s="17"/>
      <c r="D21" s="56"/>
      <c r="E21" s="22">
        <v>1.4</v>
      </c>
      <c r="F21" s="15" t="s">
        <v>38</v>
      </c>
      <c r="G21" s="15"/>
      <c r="N21" s="17"/>
    </row>
    <row r="22" spans="1:14">
      <c r="A22" s="17" t="s">
        <v>62</v>
      </c>
      <c r="B22" s="35">
        <v>0.4</v>
      </c>
      <c r="C22" s="17"/>
      <c r="D22" s="56"/>
      <c r="E22" s="22">
        <v>1.48</v>
      </c>
      <c r="F22" s="15" t="s">
        <v>38</v>
      </c>
      <c r="G22" s="15"/>
      <c r="N22" s="17"/>
    </row>
    <row r="23" spans="1:14">
      <c r="C23" s="17"/>
      <c r="D23" s="56"/>
      <c r="E23" s="22">
        <v>1.76</v>
      </c>
      <c r="F23" s="18" t="s">
        <v>124</v>
      </c>
      <c r="G23" s="15"/>
      <c r="N23" s="17"/>
    </row>
    <row r="24" spans="1:14">
      <c r="C24" s="17"/>
      <c r="D24" s="56"/>
      <c r="E24" s="22">
        <v>1.9</v>
      </c>
      <c r="F24" s="15" t="s">
        <v>76</v>
      </c>
      <c r="G24" s="15"/>
      <c r="N24" s="17"/>
    </row>
    <row r="25" spans="1:14">
      <c r="C25" s="26"/>
      <c r="D25" s="56"/>
      <c r="E25" s="22">
        <v>2.06</v>
      </c>
      <c r="F25" s="15" t="s">
        <v>38</v>
      </c>
      <c r="G25" s="15"/>
    </row>
    <row r="26" spans="1:14">
      <c r="C26" s="26"/>
      <c r="D26" s="56"/>
      <c r="E26" s="22">
        <v>2.16</v>
      </c>
      <c r="F26" s="15" t="s">
        <v>124</v>
      </c>
      <c r="G26" s="15"/>
    </row>
    <row r="27" spans="1:14">
      <c r="A27" s="17"/>
      <c r="B27" s="26"/>
      <c r="D27" s="56"/>
      <c r="E27" s="22">
        <v>2.2200000000000002</v>
      </c>
      <c r="F27" s="15" t="s">
        <v>117</v>
      </c>
      <c r="G27" s="15"/>
    </row>
    <row r="28" spans="1:14">
      <c r="D28" s="56"/>
      <c r="E28" s="15" t="s">
        <v>296</v>
      </c>
      <c r="F28" s="15"/>
      <c r="G28" s="15"/>
    </row>
    <row r="29" spans="1:14">
      <c r="A29" s="17"/>
      <c r="B29" s="26"/>
    </row>
    <row r="30" spans="1:14">
      <c r="A30" s="17"/>
      <c r="B30" s="28"/>
    </row>
  </sheetData>
  <mergeCells count="6">
    <mergeCell ref="A15:C15"/>
    <mergeCell ref="A1:J1"/>
    <mergeCell ref="A2:C2"/>
    <mergeCell ref="E2:K2"/>
    <mergeCell ref="A3:K3"/>
    <mergeCell ref="D4:D28"/>
  </mergeCells>
  <pageMargins left="0.7" right="0.7" top="0.75" bottom="0.75" header="0.3" footer="0.3"/>
  <pageSetup paperSize="9" scale="6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00B050"/>
  </sheetPr>
  <dimension ref="A1:L34"/>
  <sheetViews>
    <sheetView view="pageBreakPreview" zoomScaleNormal="100" zoomScaleSheetLayoutView="100" workbookViewId="0">
      <selection activeCell="M22" sqref="M22"/>
    </sheetView>
  </sheetViews>
  <sheetFormatPr defaultColWidth="16.42578125" defaultRowHeight="15.75"/>
  <cols>
    <col min="1" max="1" width="18.28515625" style="11" customWidth="1"/>
    <col min="2" max="8" width="16.42578125" style="11"/>
    <col min="9" max="9" width="19.140625" style="11" customWidth="1"/>
    <col min="10" max="16384" width="16.42578125" style="11"/>
  </cols>
  <sheetData>
    <row r="1" spans="1:9">
      <c r="A1" s="71" t="s">
        <v>273</v>
      </c>
      <c r="B1" s="71"/>
      <c r="C1" s="71"/>
      <c r="D1" s="71"/>
      <c r="E1" s="71"/>
      <c r="F1" s="71"/>
      <c r="G1" s="71"/>
      <c r="H1" s="71"/>
      <c r="I1" s="71"/>
    </row>
    <row r="2" spans="1:9">
      <c r="A2" s="54" t="s">
        <v>1</v>
      </c>
      <c r="B2" s="54"/>
      <c r="C2" s="54"/>
      <c r="D2" s="54"/>
      <c r="E2" s="12"/>
      <c r="F2" s="55" t="s">
        <v>2</v>
      </c>
      <c r="G2" s="55"/>
      <c r="H2" s="55"/>
      <c r="I2" s="55"/>
    </row>
    <row r="3" spans="1:9">
      <c r="A3" s="51" t="s">
        <v>274</v>
      </c>
      <c r="B3" s="51"/>
      <c r="C3" s="51"/>
      <c r="D3" s="51"/>
      <c r="E3" s="51"/>
      <c r="F3" s="51"/>
      <c r="G3" s="51"/>
      <c r="H3" s="51"/>
      <c r="I3" s="51"/>
    </row>
    <row r="4" spans="1:9" ht="15" customHeight="1">
      <c r="E4" s="56" t="s">
        <v>285</v>
      </c>
      <c r="F4" s="22" t="s">
        <v>275</v>
      </c>
      <c r="G4" s="15"/>
    </row>
    <row r="5" spans="1:9">
      <c r="E5" s="56"/>
      <c r="F5" s="22">
        <v>0.16900000000000001</v>
      </c>
      <c r="G5" s="15" t="s">
        <v>78</v>
      </c>
    </row>
    <row r="6" spans="1:9">
      <c r="A6" s="23"/>
      <c r="B6" s="23"/>
      <c r="C6" s="23"/>
      <c r="D6" s="23"/>
      <c r="E6" s="56"/>
      <c r="F6" s="22">
        <v>0.92500000000000004</v>
      </c>
      <c r="G6" s="15" t="s">
        <v>276</v>
      </c>
    </row>
    <row r="7" spans="1:9">
      <c r="A7" s="24"/>
      <c r="B7" s="24"/>
      <c r="C7" s="24"/>
      <c r="D7" s="24"/>
      <c r="E7" s="56"/>
      <c r="F7" s="22">
        <v>1.0649999999999999</v>
      </c>
      <c r="G7" s="15" t="s">
        <v>78</v>
      </c>
    </row>
    <row r="8" spans="1:9">
      <c r="A8" s="24"/>
      <c r="B8" s="24"/>
      <c r="C8" s="25"/>
      <c r="D8" s="26"/>
      <c r="E8" s="56"/>
      <c r="F8" s="22">
        <v>1.52</v>
      </c>
      <c r="G8" s="15" t="s">
        <v>277</v>
      </c>
    </row>
    <row r="9" spans="1:9">
      <c r="A9" s="24"/>
      <c r="B9" s="24"/>
      <c r="C9" s="25"/>
      <c r="D9" s="26"/>
      <c r="E9" s="56"/>
      <c r="F9" s="22">
        <v>1.6</v>
      </c>
      <c r="G9" s="15" t="s">
        <v>277</v>
      </c>
    </row>
    <row r="10" spans="1:9">
      <c r="A10" s="17"/>
      <c r="B10" s="17"/>
      <c r="C10" s="17"/>
      <c r="D10" s="17"/>
      <c r="E10" s="56"/>
      <c r="F10" s="22">
        <v>1.835</v>
      </c>
      <c r="G10" s="15" t="s">
        <v>278</v>
      </c>
    </row>
    <row r="11" spans="1:9">
      <c r="A11" s="17"/>
      <c r="B11" s="17"/>
      <c r="C11" s="26"/>
      <c r="D11" s="26"/>
      <c r="E11" s="56"/>
      <c r="F11" s="22">
        <v>2.3199999999999998</v>
      </c>
      <c r="G11" s="15" t="s">
        <v>277</v>
      </c>
    </row>
    <row r="12" spans="1:9">
      <c r="A12" s="17"/>
      <c r="B12" s="17"/>
      <c r="C12" s="17"/>
      <c r="D12" s="17"/>
      <c r="E12" s="56"/>
      <c r="F12" s="22">
        <v>2.46</v>
      </c>
      <c r="G12" s="15" t="s">
        <v>279</v>
      </c>
    </row>
    <row r="13" spans="1:9">
      <c r="A13" s="24"/>
      <c r="B13" s="24"/>
      <c r="C13" s="25"/>
      <c r="D13" s="17"/>
      <c r="E13" s="56"/>
      <c r="F13" s="22">
        <v>3.7170000000000001</v>
      </c>
      <c r="G13" s="15" t="s">
        <v>277</v>
      </c>
    </row>
    <row r="14" spans="1:9">
      <c r="A14" s="17"/>
      <c r="B14" s="17"/>
      <c r="C14" s="25"/>
      <c r="D14" s="17"/>
      <c r="E14" s="56"/>
      <c r="F14" s="22">
        <v>3.72</v>
      </c>
      <c r="G14" s="15" t="s">
        <v>280</v>
      </c>
    </row>
    <row r="15" spans="1:9">
      <c r="A15" s="60"/>
      <c r="B15" s="60"/>
      <c r="C15" s="60"/>
      <c r="D15" s="60"/>
      <c r="E15" s="56"/>
      <c r="F15" s="22">
        <v>4.0199999999999996</v>
      </c>
      <c r="G15" s="15" t="s">
        <v>281</v>
      </c>
    </row>
    <row r="16" spans="1:9">
      <c r="A16" s="24"/>
      <c r="B16" s="24"/>
      <c r="C16" s="43"/>
      <c r="D16" s="17"/>
      <c r="E16" s="56"/>
      <c r="F16" s="22">
        <v>4.92</v>
      </c>
      <c r="G16" s="15" t="s">
        <v>281</v>
      </c>
    </row>
    <row r="17" spans="1:12">
      <c r="A17" s="17"/>
      <c r="B17" s="17"/>
      <c r="C17" s="43"/>
      <c r="D17" s="17"/>
      <c r="E17" s="56"/>
      <c r="F17" s="22">
        <v>5.42</v>
      </c>
      <c r="G17" s="15" t="s">
        <v>282</v>
      </c>
    </row>
    <row r="18" spans="1:12">
      <c r="A18" s="17"/>
      <c r="B18" s="17"/>
      <c r="C18" s="35"/>
      <c r="D18" s="17"/>
      <c r="E18" s="56"/>
      <c r="F18" s="22">
        <v>5.94</v>
      </c>
      <c r="G18" s="15" t="s">
        <v>283</v>
      </c>
    </row>
    <row r="19" spans="1:12" ht="35.25" customHeight="1">
      <c r="A19" s="17"/>
      <c r="B19" s="17"/>
      <c r="C19" s="35"/>
      <c r="D19" s="17"/>
      <c r="E19" s="56"/>
      <c r="F19" s="22">
        <v>6.15</v>
      </c>
      <c r="G19" s="15" t="s">
        <v>284</v>
      </c>
    </row>
    <row r="20" spans="1:12">
      <c r="A20" s="17"/>
      <c r="B20" s="17"/>
      <c r="C20" s="35"/>
      <c r="D20" s="17"/>
      <c r="E20" s="34"/>
      <c r="F20" s="27"/>
      <c r="L20" s="24"/>
    </row>
    <row r="21" spans="1:12">
      <c r="A21" s="60" t="s">
        <v>44</v>
      </c>
      <c r="B21" s="60"/>
      <c r="C21" s="60"/>
      <c r="D21" s="60"/>
      <c r="E21" s="60"/>
      <c r="F21" s="60"/>
      <c r="L21" s="17"/>
    </row>
    <row r="22" spans="1:12">
      <c r="A22" s="44" t="s">
        <v>269</v>
      </c>
      <c r="B22" s="45" t="s">
        <v>289</v>
      </c>
      <c r="C22" s="45" t="s">
        <v>286</v>
      </c>
      <c r="D22" s="45" t="s">
        <v>290</v>
      </c>
      <c r="E22" s="45" t="s">
        <v>287</v>
      </c>
      <c r="F22" s="45" t="s">
        <v>288</v>
      </c>
      <c r="L22" s="17"/>
    </row>
    <row r="23" spans="1:12">
      <c r="A23" s="48" t="s">
        <v>305</v>
      </c>
      <c r="B23" s="45">
        <v>0.47</v>
      </c>
      <c r="C23" s="45">
        <v>0.34300000000000003</v>
      </c>
      <c r="D23" s="45">
        <v>0.23730000000000001</v>
      </c>
      <c r="E23" s="45">
        <v>0.13700000000000001</v>
      </c>
      <c r="F23" s="45">
        <v>2.4799999999999999E-2</v>
      </c>
      <c r="L23" s="17"/>
    </row>
    <row r="24" spans="1:12">
      <c r="A24" s="49" t="s">
        <v>306</v>
      </c>
      <c r="B24" s="45">
        <v>0.4829</v>
      </c>
      <c r="C24" s="45">
        <v>0.34339999999999998</v>
      </c>
      <c r="D24" s="45">
        <v>0.28050000000000003</v>
      </c>
      <c r="E24" s="45">
        <v>0.15629999999999999</v>
      </c>
      <c r="F24" s="45">
        <v>4.3299999999999998E-2</v>
      </c>
      <c r="L24" s="17"/>
    </row>
    <row r="25" spans="1:12">
      <c r="A25" s="49" t="s">
        <v>302</v>
      </c>
      <c r="B25" s="45">
        <v>2.5</v>
      </c>
      <c r="C25" s="45">
        <v>1.45</v>
      </c>
      <c r="D25" s="45">
        <v>1.2</v>
      </c>
      <c r="E25" s="45">
        <v>1</v>
      </c>
      <c r="F25" s="45">
        <v>0.5</v>
      </c>
      <c r="L25" s="17"/>
    </row>
    <row r="26" spans="1:12">
      <c r="A26" s="49" t="s">
        <v>315</v>
      </c>
      <c r="B26" s="45" t="s">
        <v>52</v>
      </c>
      <c r="C26" s="45" t="s">
        <v>52</v>
      </c>
      <c r="D26" s="45" t="s">
        <v>52</v>
      </c>
      <c r="E26" s="45" t="s">
        <v>52</v>
      </c>
      <c r="F26" s="45" t="s">
        <v>143</v>
      </c>
      <c r="L26" s="17"/>
    </row>
    <row r="27" spans="1:12">
      <c r="A27" s="49" t="s">
        <v>18</v>
      </c>
      <c r="B27" s="45">
        <v>2.5000000000000001E-2</v>
      </c>
      <c r="C27" s="45">
        <v>2.5000000000000001E-2</v>
      </c>
      <c r="D27" s="45">
        <v>2.5000000000000001E-2</v>
      </c>
      <c r="E27" s="45">
        <v>2.5000000000000001E-2</v>
      </c>
      <c r="F27" s="45">
        <v>2.5000000000000001E-2</v>
      </c>
      <c r="L27" s="17"/>
    </row>
    <row r="28" spans="1:12">
      <c r="A28" s="44" t="s">
        <v>317</v>
      </c>
      <c r="B28" s="45">
        <v>0.3639</v>
      </c>
      <c r="C28" s="45">
        <v>0.34689999999999999</v>
      </c>
      <c r="D28" s="45">
        <v>0.32619999999999999</v>
      </c>
      <c r="E28" s="45">
        <v>0.28810000000000002</v>
      </c>
      <c r="F28" s="45">
        <v>0.2311</v>
      </c>
      <c r="L28" s="17"/>
    </row>
    <row r="29" spans="1:12">
      <c r="A29" s="44" t="s">
        <v>62</v>
      </c>
      <c r="B29" s="45" t="s">
        <v>131</v>
      </c>
      <c r="C29" s="45" t="s">
        <v>131</v>
      </c>
      <c r="D29" s="45" t="s">
        <v>131</v>
      </c>
      <c r="E29" s="45" t="s">
        <v>131</v>
      </c>
      <c r="F29" s="45" t="s">
        <v>131</v>
      </c>
      <c r="L29" s="17"/>
    </row>
    <row r="30" spans="1:12">
      <c r="A30" s="12"/>
      <c r="B30" s="45">
        <v>0.45</v>
      </c>
      <c r="C30" s="45">
        <v>0.4</v>
      </c>
      <c r="D30" s="45">
        <v>0.35</v>
      </c>
      <c r="E30" s="45">
        <v>0.3</v>
      </c>
      <c r="F30" s="45">
        <v>0.25</v>
      </c>
    </row>
    <row r="34" spans="1:1">
      <c r="A34" s="17"/>
    </row>
  </sheetData>
  <mergeCells count="7">
    <mergeCell ref="A21:F21"/>
    <mergeCell ref="A1:I1"/>
    <mergeCell ref="A3:I3"/>
    <mergeCell ref="E4:E19"/>
    <mergeCell ref="A15:D15"/>
    <mergeCell ref="A2:D2"/>
    <mergeCell ref="F2:I2"/>
  </mergeCells>
  <pageMargins left="0.70866141732283472" right="0.70866141732283472" top="0.74803149606299213" bottom="0.74803149606299213" header="0.31496062992125984" footer="0.31496062992125984"/>
  <pageSetup paperSize="9" scale="57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B050"/>
  </sheetPr>
  <dimension ref="A1:K33"/>
  <sheetViews>
    <sheetView view="pageBreakPreview" zoomScaleNormal="100" zoomScaleSheetLayoutView="100" workbookViewId="0">
      <selection activeCell="N30" sqref="N30"/>
    </sheetView>
  </sheetViews>
  <sheetFormatPr defaultRowHeight="15"/>
  <cols>
    <col min="1" max="1" width="15.5703125" customWidth="1"/>
    <col min="2" max="3" width="16.42578125" bestFit="1" customWidth="1"/>
    <col min="4" max="4" width="13.28515625" customWidth="1"/>
  </cols>
  <sheetData>
    <row r="1" spans="1:9" ht="15.75">
      <c r="A1" s="58" t="s">
        <v>245</v>
      </c>
      <c r="B1" s="58"/>
      <c r="C1" s="58"/>
      <c r="D1" s="58"/>
      <c r="E1" s="58"/>
      <c r="F1" s="58"/>
      <c r="G1" s="58"/>
      <c r="H1" s="58"/>
      <c r="I1" s="58"/>
    </row>
    <row r="2" spans="1:9" ht="15.75">
      <c r="A2" s="54" t="s">
        <v>1</v>
      </c>
      <c r="B2" s="54"/>
      <c r="C2" s="54"/>
      <c r="D2" s="54"/>
      <c r="E2" s="12"/>
      <c r="F2" s="55" t="s">
        <v>2</v>
      </c>
      <c r="G2" s="55"/>
      <c r="H2" s="55"/>
      <c r="I2" s="55"/>
    </row>
    <row r="3" spans="1:9" ht="15.75">
      <c r="A3" s="51" t="s">
        <v>246</v>
      </c>
      <c r="B3" s="51"/>
      <c r="C3" s="51"/>
      <c r="D3" s="51"/>
      <c r="E3" s="51"/>
      <c r="F3" s="51"/>
      <c r="G3" s="51"/>
      <c r="H3" s="51"/>
      <c r="I3" s="51"/>
    </row>
    <row r="4" spans="1:9" ht="15" customHeight="1">
      <c r="A4" s="11"/>
      <c r="B4" s="11"/>
      <c r="C4" s="11"/>
      <c r="D4" s="11"/>
      <c r="E4" s="56" t="s">
        <v>248</v>
      </c>
      <c r="F4" s="22" t="s">
        <v>249</v>
      </c>
      <c r="G4" s="15"/>
      <c r="H4" s="11"/>
      <c r="I4" s="11"/>
    </row>
    <row r="5" spans="1:9" ht="15.75">
      <c r="A5" s="11"/>
      <c r="B5" s="11"/>
      <c r="C5" s="11"/>
      <c r="D5" s="11"/>
      <c r="E5" s="56"/>
      <c r="F5" s="22">
        <v>0.03</v>
      </c>
      <c r="G5" s="15" t="s">
        <v>173</v>
      </c>
      <c r="H5" s="11"/>
      <c r="I5" s="11"/>
    </row>
    <row r="6" spans="1:9" ht="15.75">
      <c r="A6" s="23"/>
      <c r="B6" s="23"/>
      <c r="C6" s="23"/>
      <c r="D6" s="23"/>
      <c r="E6" s="56"/>
      <c r="F6" s="22">
        <v>0.26400000000000001</v>
      </c>
      <c r="G6" s="15" t="s">
        <v>266</v>
      </c>
      <c r="H6" s="11"/>
      <c r="I6" s="11"/>
    </row>
    <row r="7" spans="1:9" ht="15.75">
      <c r="A7" s="24"/>
      <c r="B7" s="24"/>
      <c r="C7" s="24"/>
      <c r="D7" s="24"/>
      <c r="E7" s="56"/>
      <c r="F7" s="22">
        <v>0.75</v>
      </c>
      <c r="G7" s="15" t="s">
        <v>266</v>
      </c>
      <c r="H7" s="11"/>
      <c r="I7" s="11"/>
    </row>
    <row r="8" spans="1:9" ht="15.75">
      <c r="A8" s="24" t="s">
        <v>251</v>
      </c>
      <c r="B8" s="24"/>
      <c r="C8" s="25"/>
      <c r="D8" s="26" t="s">
        <v>252</v>
      </c>
      <c r="E8" s="56"/>
      <c r="F8" s="22">
        <v>2.1429999999999998</v>
      </c>
      <c r="G8" s="15" t="s">
        <v>267</v>
      </c>
      <c r="H8" s="11"/>
      <c r="I8" s="11"/>
    </row>
    <row r="9" spans="1:9" ht="15.75">
      <c r="A9" s="24" t="s">
        <v>253</v>
      </c>
      <c r="B9" s="24"/>
      <c r="C9" s="25"/>
      <c r="D9" s="26"/>
      <c r="E9" s="56"/>
      <c r="F9" s="22">
        <v>2.4420000000000002</v>
      </c>
      <c r="G9" s="15" t="s">
        <v>7</v>
      </c>
      <c r="H9" s="11"/>
      <c r="I9" s="11"/>
    </row>
    <row r="10" spans="1:9" ht="15.75">
      <c r="A10" s="17"/>
      <c r="B10" s="17"/>
      <c r="C10" s="17"/>
      <c r="D10" s="17"/>
      <c r="E10" s="56"/>
      <c r="F10" s="22">
        <v>3</v>
      </c>
      <c r="G10" s="15" t="s">
        <v>268</v>
      </c>
      <c r="H10" s="11"/>
      <c r="I10" s="11"/>
    </row>
    <row r="11" spans="1:9" ht="15.75">
      <c r="A11" s="17" t="s">
        <v>254</v>
      </c>
      <c r="B11" s="17"/>
      <c r="C11" s="26"/>
      <c r="D11" s="26" t="s">
        <v>255</v>
      </c>
      <c r="E11" s="56"/>
      <c r="F11" s="22">
        <v>3.06</v>
      </c>
      <c r="G11" s="15" t="s">
        <v>268</v>
      </c>
      <c r="H11" s="11"/>
      <c r="I11" s="11"/>
    </row>
    <row r="12" spans="1:9" ht="15.75">
      <c r="A12" s="17" t="s">
        <v>256</v>
      </c>
      <c r="B12" s="17"/>
      <c r="C12" s="17"/>
      <c r="D12" s="17"/>
      <c r="E12" s="56"/>
      <c r="F12" s="22">
        <v>3.12</v>
      </c>
      <c r="G12" s="15" t="s">
        <v>268</v>
      </c>
      <c r="H12" s="11"/>
      <c r="I12" s="11"/>
    </row>
    <row r="13" spans="1:9" ht="15.75">
      <c r="A13" s="24"/>
      <c r="B13" s="24"/>
      <c r="C13" s="25"/>
      <c r="D13" s="17"/>
      <c r="E13" s="56"/>
      <c r="F13" s="22">
        <v>3.1349999999999998</v>
      </c>
      <c r="G13" s="15" t="s">
        <v>268</v>
      </c>
      <c r="H13" s="11"/>
      <c r="I13" s="11"/>
    </row>
    <row r="14" spans="1:9" ht="15.75">
      <c r="A14" s="17" t="s">
        <v>257</v>
      </c>
      <c r="B14" s="17"/>
      <c r="C14" s="25"/>
      <c r="D14" s="17" t="s">
        <v>258</v>
      </c>
      <c r="E14" s="56"/>
      <c r="F14" s="22">
        <v>3.2250000000000001</v>
      </c>
      <c r="G14" s="15" t="s">
        <v>268</v>
      </c>
      <c r="H14" s="11"/>
      <c r="I14" s="11"/>
    </row>
    <row r="15" spans="1:9" ht="15.75">
      <c r="A15" s="60" t="s">
        <v>259</v>
      </c>
      <c r="B15" s="60"/>
      <c r="C15" s="60"/>
      <c r="D15" s="60"/>
      <c r="E15" s="56"/>
      <c r="F15" s="22">
        <v>0.3</v>
      </c>
      <c r="G15" s="15" t="s">
        <v>268</v>
      </c>
      <c r="H15" s="11"/>
      <c r="I15" s="11"/>
    </row>
    <row r="16" spans="1:9" ht="15.75">
      <c r="A16" s="24"/>
      <c r="B16" s="24"/>
      <c r="C16" s="43"/>
      <c r="D16" s="17"/>
      <c r="E16" s="56"/>
      <c r="F16" s="22">
        <v>3.33</v>
      </c>
      <c r="G16" s="15" t="s">
        <v>268</v>
      </c>
      <c r="H16" s="11"/>
      <c r="I16" s="11"/>
    </row>
    <row r="17" spans="1:11" ht="15.75">
      <c r="A17" s="17" t="s">
        <v>260</v>
      </c>
      <c r="B17" s="17"/>
      <c r="C17" s="43"/>
      <c r="D17" s="17" t="s">
        <v>261</v>
      </c>
      <c r="E17" s="56"/>
      <c r="F17" s="22">
        <v>3.36</v>
      </c>
      <c r="G17" s="15" t="s">
        <v>268</v>
      </c>
      <c r="H17" s="11"/>
      <c r="I17" s="11"/>
    </row>
    <row r="18" spans="1:11" ht="15.75">
      <c r="A18" s="17" t="s">
        <v>265</v>
      </c>
      <c r="B18" s="17"/>
      <c r="C18" s="35"/>
      <c r="D18" s="17"/>
      <c r="E18" s="56"/>
      <c r="F18" s="22">
        <v>3.6</v>
      </c>
      <c r="G18" s="15" t="s">
        <v>268</v>
      </c>
      <c r="H18" s="11"/>
      <c r="I18" s="11"/>
    </row>
    <row r="19" spans="1:11" ht="15.75">
      <c r="A19" s="17" t="s">
        <v>262</v>
      </c>
      <c r="B19" s="17"/>
      <c r="C19" s="35"/>
      <c r="D19" s="17" t="s">
        <v>263</v>
      </c>
      <c r="E19" s="56"/>
      <c r="F19" s="22" t="s">
        <v>250</v>
      </c>
      <c r="G19" s="15"/>
      <c r="H19" s="11"/>
      <c r="I19" s="11"/>
    </row>
    <row r="20" spans="1:11" ht="15.75">
      <c r="A20" s="17" t="s">
        <v>264</v>
      </c>
      <c r="B20" s="17"/>
      <c r="C20" s="35"/>
      <c r="D20" s="17"/>
      <c r="E20" s="56"/>
      <c r="F20" s="22"/>
      <c r="G20" s="15"/>
      <c r="H20" s="11"/>
      <c r="I20" s="11"/>
    </row>
    <row r="21" spans="1:11" ht="15.75">
      <c r="A21" s="17"/>
      <c r="B21" s="17"/>
      <c r="C21" s="35"/>
      <c r="D21" s="17"/>
      <c r="E21" s="56"/>
      <c r="F21" s="22"/>
      <c r="G21" s="15"/>
      <c r="H21" s="11"/>
      <c r="I21" s="11"/>
    </row>
    <row r="22" spans="1:11" ht="15.75">
      <c r="A22" s="60" t="s">
        <v>44</v>
      </c>
      <c r="B22" s="60"/>
      <c r="C22" s="60"/>
      <c r="D22" s="60"/>
      <c r="E22" s="56"/>
      <c r="F22" s="22"/>
      <c r="G22" s="15"/>
      <c r="H22" s="11"/>
      <c r="I22" s="11"/>
    </row>
    <row r="23" spans="1:11" ht="15.75">
      <c r="A23" s="42" t="s">
        <v>49</v>
      </c>
      <c r="B23" s="26" t="s">
        <v>270</v>
      </c>
      <c r="C23" s="26" t="s">
        <v>271</v>
      </c>
      <c r="D23" s="26" t="s">
        <v>272</v>
      </c>
      <c r="E23" s="56"/>
      <c r="F23" s="22"/>
      <c r="G23" s="15"/>
      <c r="H23" s="11"/>
      <c r="I23" s="11"/>
    </row>
    <row r="24" spans="1:11" ht="15.75">
      <c r="A24" s="24" t="s">
        <v>305</v>
      </c>
      <c r="B24" s="25">
        <v>0.316</v>
      </c>
      <c r="C24" s="43">
        <v>0.18149999999999999</v>
      </c>
      <c r="D24" s="17">
        <v>0.14860000000000001</v>
      </c>
      <c r="E24" s="56"/>
      <c r="F24" s="22"/>
      <c r="G24" s="18"/>
      <c r="H24" s="11"/>
      <c r="I24" s="11"/>
      <c r="K24" s="24"/>
    </row>
    <row r="25" spans="1:11" ht="15.75">
      <c r="A25" s="17" t="s">
        <v>306</v>
      </c>
      <c r="B25" s="26">
        <v>0.34079999999999999</v>
      </c>
      <c r="C25" s="43">
        <v>0.19739999999999999</v>
      </c>
      <c r="D25" s="17">
        <v>0.15620000000000001</v>
      </c>
      <c r="E25" s="56"/>
      <c r="F25" s="22"/>
      <c r="G25" s="15"/>
      <c r="H25" s="11"/>
      <c r="I25" s="11"/>
      <c r="K25" s="17"/>
    </row>
    <row r="26" spans="1:11" ht="15.75">
      <c r="A26" s="17" t="s">
        <v>302</v>
      </c>
      <c r="B26" s="26">
        <v>1.75</v>
      </c>
      <c r="C26" s="35">
        <v>1.2</v>
      </c>
      <c r="D26" s="11">
        <v>1.2</v>
      </c>
      <c r="E26" s="56"/>
      <c r="F26" s="22"/>
      <c r="G26" s="15"/>
      <c r="H26" s="11"/>
      <c r="I26" s="11"/>
      <c r="K26" s="17"/>
    </row>
    <row r="27" spans="1:11" ht="15.75">
      <c r="A27" s="17" t="s">
        <v>62</v>
      </c>
      <c r="B27" s="26">
        <v>0.45</v>
      </c>
      <c r="C27" s="35">
        <v>0.45</v>
      </c>
      <c r="D27" s="17">
        <v>0.35</v>
      </c>
      <c r="E27" s="56"/>
      <c r="F27" s="22"/>
      <c r="G27" s="15"/>
      <c r="H27" s="11"/>
      <c r="I27" s="11"/>
      <c r="K27" s="17"/>
    </row>
    <row r="28" spans="1:11" ht="15.75">
      <c r="A28" s="17" t="s">
        <v>316</v>
      </c>
      <c r="B28" s="26" t="s">
        <v>52</v>
      </c>
      <c r="C28" s="26" t="s">
        <v>52</v>
      </c>
      <c r="D28" s="26" t="s">
        <v>52</v>
      </c>
      <c r="E28" s="56"/>
      <c r="F28" s="22"/>
      <c r="G28" s="15"/>
      <c r="H28" s="11"/>
      <c r="I28" s="11"/>
      <c r="K28" s="17"/>
    </row>
    <row r="29" spans="1:11" ht="15.75">
      <c r="A29" s="17" t="s">
        <v>315</v>
      </c>
      <c r="B29" s="26">
        <v>2.5000000000000001E-2</v>
      </c>
      <c r="C29" s="26">
        <v>2.5000000000000001E-2</v>
      </c>
      <c r="D29" s="26">
        <v>2.5000000000000001E-2</v>
      </c>
      <c r="E29" s="56"/>
      <c r="F29" s="15"/>
      <c r="G29" s="15"/>
      <c r="H29" s="11"/>
      <c r="I29" s="11"/>
      <c r="K29" s="17"/>
    </row>
    <row r="30" spans="1:11" ht="15.75">
      <c r="A30" s="17" t="s">
        <v>18</v>
      </c>
      <c r="B30" s="26">
        <v>0.34399999999999997</v>
      </c>
      <c r="C30" s="11">
        <v>0.30840000000000001</v>
      </c>
      <c r="D30" s="11">
        <v>0.28799999999999998</v>
      </c>
      <c r="E30" s="56"/>
      <c r="F30" s="15"/>
      <c r="G30" s="15"/>
      <c r="H30" s="11"/>
      <c r="I30" s="11"/>
      <c r="K30" s="17"/>
    </row>
    <row r="31" spans="1:11" ht="15.75">
      <c r="A31" s="17" t="s">
        <v>317</v>
      </c>
      <c r="B31" s="26" t="s">
        <v>131</v>
      </c>
      <c r="C31" s="26" t="s">
        <v>131</v>
      </c>
      <c r="D31" s="26" t="s">
        <v>131</v>
      </c>
      <c r="E31" s="56"/>
      <c r="F31" s="15"/>
      <c r="G31" s="15"/>
      <c r="H31" s="11"/>
      <c r="I31" s="11"/>
    </row>
    <row r="33" spans="4:4">
      <c r="D33" s="1"/>
    </row>
  </sheetData>
  <mergeCells count="7">
    <mergeCell ref="A1:I1"/>
    <mergeCell ref="A3:I3"/>
    <mergeCell ref="A15:D15"/>
    <mergeCell ref="A22:D22"/>
    <mergeCell ref="E4:E31"/>
    <mergeCell ref="A2:D2"/>
    <mergeCell ref="F2:I2"/>
  </mergeCells>
  <pageMargins left="0.7" right="0.7" top="0.75" bottom="0.75" header="0.3" footer="0.3"/>
  <pageSetup paperSize="9" scale="77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10</vt:i4>
      </vt:variant>
    </vt:vector>
  </HeadingPairs>
  <TitlesOfParts>
    <vt:vector size="24" baseType="lpstr">
      <vt:lpstr>PEDDAJUTUR  DISTRIBUTORY </vt:lpstr>
      <vt:lpstr>GOLLALAGUDUR DISTRIBUTORY</vt:lpstr>
      <vt:lpstr>ALAVALAPADU D</vt:lpstr>
      <vt:lpstr>GONDIPALLI D</vt:lpstr>
      <vt:lpstr>NAGUR D</vt:lpstr>
      <vt:lpstr>KOTHAPALLI -1 D</vt:lpstr>
      <vt:lpstr>KOTHAPALLI -2 D</vt:lpstr>
      <vt:lpstr>CHAGALERU D</vt:lpstr>
      <vt:lpstr>KATHALUR D</vt:lpstr>
      <vt:lpstr>TALLAPALLI </vt:lpstr>
      <vt:lpstr>KATHALUR D2</vt:lpstr>
      <vt:lpstr>VEMAPLLI D1</vt:lpstr>
      <vt:lpstr>VEMAPLLI D2</vt:lpstr>
      <vt:lpstr>Sheet2</vt:lpstr>
      <vt:lpstr>'ALAVALAPADU D'!Print_Area</vt:lpstr>
      <vt:lpstr>'CHAGALERU D'!Print_Area</vt:lpstr>
      <vt:lpstr>'GONDIPALLI D'!Print_Area</vt:lpstr>
      <vt:lpstr>'KATHALUR D'!Print_Area</vt:lpstr>
      <vt:lpstr>'KOTHAPALLI -1 D'!Print_Area</vt:lpstr>
      <vt:lpstr>'KOTHAPALLI -2 D'!Print_Area</vt:lpstr>
      <vt:lpstr>'NAGUR D'!Print_Area</vt:lpstr>
      <vt:lpstr>'TALLAPALLI '!Print_Area</vt:lpstr>
      <vt:lpstr>'VEMAPLLI D1'!Print_Area</vt:lpstr>
      <vt:lpstr>'VEMAPLLI D2'!Print_Area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2025-07-08T14:32:08Z</dcterms:modified>
</cp:coreProperties>
</file>